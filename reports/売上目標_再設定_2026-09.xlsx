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" sheetId="1" state="visible" r:id="rId1"/>
    <sheet name="月別目標" sheetId="2" state="visible" r:id="rId2"/>
    <sheet name="ストア別ブランド別" sheetId="3" state="visible" r:id="rId3"/>
    <sheet name="シナリオ" sheetId="4" state="visible" r:id="rId4"/>
    <sheet name="月次チェッ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¥#,##0;(¥#,##0);-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8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164" fontId="4" fillId="2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5" fontId="5" fillId="0" borderId="0" pivotButton="0" quotePrefix="0" xfId="0"/>
    <xf numFmtId="2" fontId="4" fillId="2" borderId="0" pivotButton="0" quotePrefix="0" xfId="0"/>
    <xf numFmtId="166" fontId="4" fillId="2" borderId="0" pivotButton="0" quotePrefix="0" xfId="0"/>
    <xf numFmtId="164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165" fontId="7" fillId="5" borderId="1" pivotButton="0" quotePrefix="0" xfId="0"/>
    <xf numFmtId="0" fontId="0" fillId="5" borderId="1" pivotButton="0" quotePrefix="0" xfId="0"/>
    <xf numFmtId="165" fontId="3" fillId="5" borderId="1" pivotButton="0" quotePrefix="0" xfId="0"/>
    <xf numFmtId="164" fontId="3" fillId="5" borderId="1" pivotButton="0" quotePrefix="0" xfId="0"/>
    <xf numFmtId="0" fontId="2" fillId="5" borderId="1" pivotButton="0" quotePrefix="0" xfId="0"/>
    <xf numFmtId="165" fontId="0" fillId="5" borderId="1" pivotButton="0" quotePrefix="0" xfId="0"/>
    <xf numFmtId="0" fontId="0" fillId="0" borderId="1" pivotButton="0" quotePrefix="0" xfId="0"/>
    <xf numFmtId="0" fontId="3" fillId="0" borderId="1" pivotButton="0" quotePrefix="0" xfId="0"/>
    <xf numFmtId="165" fontId="7" fillId="0" borderId="1" pivotButton="0" quotePrefix="0" xfId="0"/>
    <xf numFmtId="165" fontId="5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165" fontId="5" fillId="4" borderId="1" pivotButton="0" quotePrefix="0" xfId="0"/>
    <xf numFmtId="164" fontId="5" fillId="4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0" fontId="6" fillId="3" borderId="1" pivotButton="0" quotePrefix="0" xfId="0"/>
    <xf numFmtId="166" fontId="5" fillId="0" borderId="0" pivotButton="0" quotePrefix="0" xfId="0"/>
    <xf numFmtId="2" fontId="4" fillId="0" borderId="1" pivotButton="0" quotePrefix="0" xfId="0"/>
    <xf numFmtId="165" fontId="0" fillId="0" borderId="1" pivotButton="0" quotePrefix="0" xfId="0"/>
    <xf numFmtId="165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3" customWidth="1" min="3" max="3"/>
    <col width="14" customWidth="1" min="4" max="4"/>
    <col width="9" customWidth="1" min="5" max="5"/>
    <col width="16" customWidth="1" min="6" max="6"/>
    <col width="15" customWidth="1" min="7" max="7"/>
    <col width="22" customWidth="1" min="8" max="8"/>
    <col width="12" customWidth="1" min="9" max="9"/>
    <col width="60" customWidth="1" min="10" max="10"/>
  </cols>
  <sheetData>
    <row r="1">
      <c r="A1" s="1" t="inlineStr">
        <is>
          <t>売上目標 再設定 FY2026（2026-05〜2027-04）― 前提・入力値（すべて税抜）</t>
        </is>
      </c>
    </row>
    <row r="2">
      <c r="A2" s="2" t="inlineStr">
        <is>
          <t>青字＝入力値（変更可）、黄色＝特に見直しが必要な仮置き。黒字＝数式。他シートはこのシートを参照。</t>
        </is>
      </c>
    </row>
    <row r="4">
      <c r="A4" s="3" t="inlineStr">
        <is>
          <t>税込→税抜 係数（媒体計測ROASは税込）</t>
        </is>
      </c>
      <c r="B4" s="4" t="n">
        <v>1.1</v>
      </c>
      <c r="C4" s="2" t="inlineStr">
        <is>
          <t>媒体の購入金額は税込。÷1.1で税抜換算</t>
        </is>
      </c>
    </row>
    <row r="5">
      <c r="A5" s="3" t="inlineStr">
        <is>
          <t>前年売上のうち広告経由の比率</t>
        </is>
      </c>
      <c r="B5" s="5" t="n">
        <v>0.15</v>
      </c>
      <c r="C5" s="2" t="inlineStr">
        <is>
          <t>前年は計測破損のため推定。8月実績の広告売り比率16%を参考に仮置き</t>
        </is>
      </c>
    </row>
    <row r="6">
      <c r="A6" s="3" t="inlineStr">
        <is>
          <t>会社WEB予算（年間・税抜）</t>
        </is>
      </c>
      <c r="B6" s="6" t="n">
        <v>280000000</v>
      </c>
      <c r="C6" s="2" t="inlineStr">
        <is>
          <t>会社WEB年度予算ファイル</t>
        </is>
      </c>
    </row>
    <row r="7">
      <c r="A7" s="3" t="inlineStr">
        <is>
          <t>ストレッチ目標（年間・税抜）</t>
        </is>
      </c>
      <c r="B7" s="6" t="n">
        <v>320000000</v>
      </c>
      <c r="C7" s="2" t="inlineStr">
        <is>
          <t>ユーザー指定</t>
        </is>
      </c>
    </row>
    <row r="8">
      <c r="A8" s="3" t="inlineStr">
        <is>
          <t>3ストアの広告予算シェア（10月〜、各ストア）</t>
        </is>
      </c>
      <c r="B8" s="7" t="n">
        <v>0.15</v>
      </c>
      <c r="C8" s="2" t="inlineStr">
        <is>
          <t>HOUDINI/NORRONA/PU 各15%、FULLMARKS 55%</t>
        </is>
      </c>
    </row>
    <row r="11">
      <c r="A11" s="8" t="inlineStr">
        <is>
          <t>実績（5〜8月・税抜）</t>
        </is>
      </c>
    </row>
    <row r="12">
      <c r="A12" s="9" t="inlineStr">
        <is>
          <t>月</t>
        </is>
      </c>
      <c r="B12" s="9" t="inlineStr">
        <is>
          <t>売上実績</t>
        </is>
      </c>
      <c r="C12" s="9" t="inlineStr">
        <is>
          <t>会社予算</t>
        </is>
      </c>
      <c r="D12" s="9" t="inlineStr">
        <is>
          <t>前年同月</t>
        </is>
      </c>
    </row>
    <row r="13">
      <c r="A13" s="3" t="inlineStr">
        <is>
          <t>2026-05</t>
        </is>
      </c>
      <c r="B13" s="6" t="n">
        <v>10878769</v>
      </c>
      <c r="C13" s="6" t="n">
        <v>16500000</v>
      </c>
      <c r="D13" s="6" t="n">
        <v>12569387</v>
      </c>
      <c r="E13" s="2" t="inlineStr">
        <is>
          <t>出典: 会社WEB年度予算ファイル（税抜）。予算比は5〜8月計で114%</t>
        </is>
      </c>
    </row>
    <row r="14">
      <c r="A14" s="3" t="inlineStr">
        <is>
          <t>2026-06</t>
        </is>
      </c>
      <c r="B14" s="6" t="n">
        <v>11689179</v>
      </c>
      <c r="C14" s="6" t="n">
        <v>16500000</v>
      </c>
      <c r="D14" s="6" t="n">
        <v>10282993</v>
      </c>
    </row>
    <row r="15">
      <c r="A15" s="3" t="inlineStr">
        <is>
          <t>2026-07</t>
        </is>
      </c>
      <c r="B15" s="6" t="n">
        <v>31677600</v>
      </c>
      <c r="C15" s="6" t="n">
        <v>17000000</v>
      </c>
      <c r="D15" s="6" t="n">
        <v>11017920</v>
      </c>
    </row>
    <row r="16">
      <c r="A16" s="3" t="inlineStr">
        <is>
          <t>2026-08</t>
        </is>
      </c>
      <c r="B16" s="6" t="n">
        <v>26669593</v>
      </c>
      <c r="C16" s="6" t="n">
        <v>21000000</v>
      </c>
      <c r="D16" s="6" t="n">
        <v>21492906</v>
      </c>
    </row>
    <row r="17">
      <c r="A17" s="8" t="inlineStr">
        <is>
          <t>5〜8月 計</t>
        </is>
      </c>
      <c r="B17" s="10">
        <f>SUM(B13:B16)</f>
        <v/>
      </c>
      <c r="C17" s="10">
        <f>SUM(C13:C16)</f>
        <v/>
      </c>
      <c r="D17" s="10">
        <f>SUM(D13:D16)</f>
        <v/>
      </c>
    </row>
    <row r="20">
      <c r="A20" s="8" t="inlineStr">
        <is>
          <t>月別入力（9〜4月）</t>
        </is>
      </c>
    </row>
    <row r="21">
      <c r="A21" s="9" t="inlineStr">
        <is>
          <t>月</t>
        </is>
      </c>
      <c r="B21" s="9" t="inlineStr">
        <is>
          <t>会社予算</t>
        </is>
      </c>
      <c r="C21" s="9" t="inlineStr">
        <is>
          <t>前年同月</t>
        </is>
      </c>
      <c r="D21" s="9" t="inlineStr">
        <is>
          <t>自然売上 成長率</t>
        </is>
      </c>
      <c r="E21" s="9" t="inlineStr">
        <is>
          <t>広告費合計(通常+イベント)</t>
        </is>
      </c>
      <c r="F21" s="9" t="inlineStr">
        <is>
          <t>うちイベント予備費</t>
        </is>
      </c>
      <c r="G21" s="9" t="inlineStr">
        <is>
          <t>ROAS 達成度</t>
        </is>
      </c>
    </row>
    <row r="22">
      <c r="A22" s="3" t="inlineStr">
        <is>
          <t>2026-09</t>
        </is>
      </c>
      <c r="B22" s="6" t="n">
        <v>15000000</v>
      </c>
      <c r="C22" s="6" t="n">
        <v>9504761</v>
      </c>
      <c r="D22" s="11" t="n">
        <v>1</v>
      </c>
      <c r="E22" s="6" t="n">
        <v>698422</v>
      </c>
      <c r="F22" s="6" t="n">
        <v>48422</v>
      </c>
      <c r="G22" s="11" t="n">
        <v>0.7</v>
      </c>
      <c r="H22" s="2" t="inlineStr">
        <is>
          <t>成長率＝前年同月の自然売上に対する伸び（1.00＝前年並み）。10月は3ストア稼働で1.10、2月は前年6,369万が突出値のため0.75、4月は0.90。ROAS達成度＝想定ROASに掛ける係数。9月は広告刷新直後(9/1〜3実績ROAS3.3)のため0.70、10月は新ストア立ち上げで0.85。広告費は「広告予算計画_金額確定版」の月額。</t>
        </is>
      </c>
    </row>
    <row r="23">
      <c r="A23" s="3" t="inlineStr">
        <is>
          <t>2026-10</t>
        </is>
      </c>
      <c r="B23" s="6" t="n">
        <v>29000000</v>
      </c>
      <c r="C23" s="6" t="n">
        <v>16850103</v>
      </c>
      <c r="D23" s="11" t="n">
        <v>1.1</v>
      </c>
      <c r="E23" s="6" t="n">
        <v>1052086</v>
      </c>
      <c r="F23" s="6" t="n">
        <v>0</v>
      </c>
      <c r="G23" s="11" t="n">
        <v>0.85</v>
      </c>
    </row>
    <row r="24">
      <c r="A24" s="3" t="inlineStr">
        <is>
          <t>2026-11</t>
        </is>
      </c>
      <c r="B24" s="6" t="n">
        <v>30000000</v>
      </c>
      <c r="C24" s="6" t="n">
        <v>28306061</v>
      </c>
      <c r="D24" s="11" t="n">
        <v>1</v>
      </c>
      <c r="E24" s="6" t="n">
        <v>1087156</v>
      </c>
      <c r="F24" s="6" t="n">
        <v>0</v>
      </c>
      <c r="G24" s="11" t="n">
        <v>1</v>
      </c>
    </row>
    <row r="25">
      <c r="A25" s="3" t="inlineStr">
        <is>
          <t>2026-12</t>
        </is>
      </c>
      <c r="B25" s="6" t="n">
        <v>36000000</v>
      </c>
      <c r="C25" s="6" t="n">
        <v>27709798</v>
      </c>
      <c r="D25" s="11" t="n">
        <v>1</v>
      </c>
      <c r="E25" s="6" t="n">
        <v>1292364</v>
      </c>
      <c r="F25" s="6" t="n">
        <v>100000</v>
      </c>
      <c r="G25" s="11" t="n">
        <v>1</v>
      </c>
    </row>
    <row r="26">
      <c r="A26" s="3" t="inlineStr">
        <is>
          <t>2027-01</t>
        </is>
      </c>
      <c r="B26" s="6" t="n">
        <v>26000000</v>
      </c>
      <c r="C26" s="6" t="n">
        <v>22725973</v>
      </c>
      <c r="D26" s="11" t="n">
        <v>1</v>
      </c>
      <c r="E26" s="6" t="n">
        <v>981947</v>
      </c>
      <c r="F26" s="6" t="n">
        <v>0</v>
      </c>
      <c r="G26" s="11" t="n">
        <v>1</v>
      </c>
    </row>
    <row r="27">
      <c r="A27" s="3" t="inlineStr">
        <is>
          <t>2027-02</t>
        </is>
      </c>
      <c r="B27" s="6" t="n">
        <v>41000000</v>
      </c>
      <c r="C27" s="6" t="n">
        <v>63694086</v>
      </c>
      <c r="D27" s="11" t="n">
        <v>0.75</v>
      </c>
      <c r="E27" s="6" t="n">
        <v>1372225</v>
      </c>
      <c r="F27" s="6" t="n">
        <v>250000</v>
      </c>
      <c r="G27" s="11" t="n">
        <v>1</v>
      </c>
    </row>
    <row r="28">
      <c r="A28" s="3" t="inlineStr">
        <is>
          <t>2027-03</t>
        </is>
      </c>
      <c r="B28" s="6" t="n">
        <v>15500000</v>
      </c>
      <c r="C28" s="6" t="n">
        <v>14646068</v>
      </c>
      <c r="D28" s="11" t="n">
        <v>1</v>
      </c>
      <c r="E28" s="6" t="n">
        <v>856599</v>
      </c>
      <c r="F28" s="6" t="n">
        <v>50000</v>
      </c>
      <c r="G28" s="11" t="n">
        <v>1</v>
      </c>
    </row>
    <row r="29">
      <c r="A29" s="3" t="inlineStr">
        <is>
          <t>2027-04</t>
        </is>
      </c>
      <c r="B29" s="6" t="n">
        <v>16500000</v>
      </c>
      <c r="C29" s="6" t="n">
        <v>24663324</v>
      </c>
      <c r="D29" s="11" t="n">
        <v>0.9</v>
      </c>
      <c r="E29" s="6" t="n">
        <v>771530</v>
      </c>
      <c r="F29" s="6" t="n">
        <v>0</v>
      </c>
      <c r="G29" s="11" t="n">
        <v>1</v>
      </c>
    </row>
    <row r="30">
      <c r="A30" s="8" t="inlineStr">
        <is>
          <t>計</t>
        </is>
      </c>
      <c r="B30" s="10">
        <f>SUM(B22:B29)</f>
        <v/>
      </c>
      <c r="C30" s="10">
        <f>SUM(C22:C29)</f>
        <v/>
      </c>
      <c r="E30" s="10">
        <f>SUM(E22:E29)</f>
        <v/>
      </c>
      <c r="F30" s="10">
        <f>SUM(F22:F29)</f>
        <v/>
      </c>
    </row>
    <row r="33">
      <c r="A33" s="8" t="inlineStr">
        <is>
          <t>ライン定義（広告配分比率・ROAS・自然売上シェア）</t>
        </is>
      </c>
    </row>
    <row r="34">
      <c r="A34" s="9" t="inlineStr">
        <is>
          <t>ストア</t>
        </is>
      </c>
      <c r="B34" s="9" t="inlineStr">
        <is>
          <t>ブランド/枠</t>
        </is>
      </c>
      <c r="C34" s="9" t="inlineStr">
        <is>
          <t>9月 配分比率</t>
        </is>
      </c>
      <c r="D34" s="9" t="inlineStr">
        <is>
          <t>10月〜 配分比率</t>
        </is>
      </c>
      <c r="E34" s="9" t="inlineStr">
        <is>
          <t>枠種別</t>
        </is>
      </c>
      <c r="F34" s="9" t="inlineStr">
        <is>
          <t>想定ROAS(税込計測)</t>
        </is>
      </c>
      <c r="G34" s="9" t="inlineStr">
        <is>
          <t>自然売上シェア 9月</t>
        </is>
      </c>
      <c r="H34" s="9" t="inlineStr">
        <is>
          <t>自然売上シェア 10月〜(FM=移管前 / 新ストア=潜在規模)</t>
        </is>
      </c>
      <c r="I34" s="9" t="inlineStr">
        <is>
          <t>純増率(新ストア)</t>
        </is>
      </c>
      <c r="J34" s="9" t="inlineStr">
        <is>
          <t>備考</t>
        </is>
      </c>
    </row>
    <row r="35">
      <c r="A35" s="3" t="inlineStr">
        <is>
          <t>FULLMARKS STORE</t>
        </is>
      </c>
      <c r="B35" s="3" t="inlineStr">
        <is>
          <t>HOUDINI</t>
        </is>
      </c>
      <c r="C35" s="7" t="n">
        <v>0.27</v>
      </c>
      <c r="D35" s="7" t="n">
        <v>0.2</v>
      </c>
      <c r="E35" s="3" t="inlineStr">
        <is>
          <t>FM</t>
        </is>
      </c>
      <c r="F35" s="12" t="n">
        <v>14</v>
      </c>
      <c r="G35" s="7" t="n">
        <v>0.55</v>
      </c>
      <c r="H35" s="5" t="n">
        <v>0.55</v>
      </c>
      <c r="I35" s="5" t="n"/>
      <c r="J35" s="2" t="inlineStr">
        <is>
          <t>8月ROAS17.3。HOUDINI STORE開店後、移管分(潜在規模×(1−純増率))を差し引く</t>
        </is>
      </c>
    </row>
    <row r="36">
      <c r="A36" s="3" t="inlineStr">
        <is>
          <t>FULLMARKS STORE</t>
        </is>
      </c>
      <c r="B36" s="3" t="inlineStr">
        <is>
          <t>NORRØNA</t>
        </is>
      </c>
      <c r="C36" s="7" t="n">
        <v>0.07000000000000001</v>
      </c>
      <c r="D36" s="7" t="n">
        <v>0.06</v>
      </c>
      <c r="E36" s="3" t="inlineStr">
        <is>
          <t>FM</t>
        </is>
      </c>
      <c r="F36" s="12" t="n">
        <v>4</v>
      </c>
      <c r="G36" s="7" t="n">
        <v>0.12</v>
      </c>
      <c r="H36" s="5" t="n">
        <v>0.12</v>
      </c>
      <c r="I36" s="5" t="n"/>
      <c r="J36" s="2" t="inlineStr">
        <is>
          <t>8月ROAS1.1→文言/シリーズ別に刷新。NORRONA STORE開店後に移管分を差し引く</t>
        </is>
      </c>
    </row>
    <row r="37">
      <c r="A37" s="3" t="inlineStr">
        <is>
          <t>FULLMARKS STORE</t>
        </is>
      </c>
      <c r="B37" s="3" t="inlineStr">
        <is>
          <t>POC</t>
        </is>
      </c>
      <c r="C37" s="7" t="n">
        <v>0.09</v>
      </c>
      <c r="D37" s="7" t="n">
        <v>0.12</v>
      </c>
      <c r="E37" s="3" t="inlineStr">
        <is>
          <t>FM</t>
        </is>
      </c>
      <c r="F37" s="12" t="n">
        <v>5</v>
      </c>
      <c r="G37" s="7" t="n">
        <v>0.1</v>
      </c>
      <c r="H37" s="5" t="n">
        <v>0.1</v>
      </c>
      <c r="I37" s="5" t="n"/>
      <c r="J37" s="2" t="inlineStr">
        <is>
          <t>8月ROAS3.9。専用ストア無しのため強化</t>
        </is>
      </c>
    </row>
    <row r="38">
      <c r="A38" s="3" t="inlineStr">
        <is>
          <t>FULLMARKS STORE</t>
        </is>
      </c>
      <c r="B38" s="3" t="inlineStr">
        <is>
          <t>ACLIMA</t>
        </is>
      </c>
      <c r="C38" s="7" t="n">
        <v>0.05</v>
      </c>
      <c r="D38" s="7" t="n">
        <v>0.06</v>
      </c>
      <c r="E38" s="3" t="inlineStr">
        <is>
          <t>FM</t>
        </is>
      </c>
      <c r="F38" s="12" t="n">
        <v>4</v>
      </c>
      <c r="G38" s="7" t="n">
        <v>0.06</v>
      </c>
      <c r="H38" s="5" t="n">
        <v>0.06</v>
      </c>
      <c r="I38" s="5" t="n"/>
      <c r="J38" s="2" t="inlineStr">
        <is>
          <t>MetaのCLKはROAS6</t>
        </is>
      </c>
    </row>
    <row r="39">
      <c r="A39" s="3" t="inlineStr">
        <is>
          <t>FULLMARKS STORE</t>
        </is>
      </c>
      <c r="B39" s="3" t="inlineStr">
        <is>
          <t>HESTRA</t>
        </is>
      </c>
      <c r="C39" s="7" t="n">
        <v>0.04</v>
      </c>
      <c r="D39" s="7" t="n">
        <v>0.08</v>
      </c>
      <c r="E39" s="3" t="inlineStr">
        <is>
          <t>FM</t>
        </is>
      </c>
      <c r="F39" s="12" t="n">
        <v>5</v>
      </c>
      <c r="G39" s="7" t="n">
        <v>0.07000000000000001</v>
      </c>
      <c r="H39" s="5" t="n">
        <v>0.07000000000000001</v>
      </c>
      <c r="I39" s="5" t="n"/>
      <c r="J39" s="2" t="inlineStr">
        <is>
          <t>未広告→指名検索を新設。10〜1月が本番。フィード未掲載81件の修正が前提</t>
        </is>
      </c>
    </row>
    <row r="40">
      <c r="A40" s="3" t="inlineStr">
        <is>
          <t>FULLMARKS STORE</t>
        </is>
      </c>
      <c r="B40" s="3" t="inlineStr">
        <is>
          <t>その他(KANG/PLUS ONE WORKS/POW/SR)</t>
        </is>
      </c>
      <c r="C40" s="7" t="n">
        <v>0.01</v>
      </c>
      <c r="D40" s="7" t="n">
        <v>0.02</v>
      </c>
      <c r="E40" s="3" t="inlineStr">
        <is>
          <t>FM</t>
        </is>
      </c>
      <c r="F40" s="12" t="n">
        <v>3</v>
      </c>
      <c r="G40" s="7" t="n">
        <v>0.1</v>
      </c>
      <c r="H40" s="5" t="n">
        <v>0.1</v>
      </c>
      <c r="I40" s="5" t="n"/>
      <c r="J40" s="2" t="inlineStr">
        <is>
          <t>PU STORE開店後に移管分を差し引く</t>
        </is>
      </c>
    </row>
    <row r="41">
      <c r="A41" s="3" t="inlineStr">
        <is>
          <t>FULLMARKS STORE</t>
        </is>
      </c>
      <c r="B41" s="3" t="inlineStr">
        <is>
          <t>共通: 店舗指名検索</t>
        </is>
      </c>
      <c r="C41" s="7" t="n">
        <v>0.17</v>
      </c>
      <c r="D41" s="7" t="n">
        <v>0.18</v>
      </c>
      <c r="E41" s="3" t="inlineStr">
        <is>
          <t>FM</t>
        </is>
      </c>
      <c r="F41" s="12" t="n">
        <v>14</v>
      </c>
      <c r="G41" s="7" t="n">
        <v>0</v>
      </c>
      <c r="H41" s="5" t="n">
        <v>0</v>
      </c>
      <c r="I41" s="5" t="n"/>
      <c r="J41" s="2" t="inlineStr">
        <is>
          <t>8月ROAS15.8。ブランド横断のため自然売上は配分しない</t>
        </is>
      </c>
    </row>
    <row r="42">
      <c r="A42" s="3" t="inlineStr">
        <is>
          <t>FULLMARKS STORE</t>
        </is>
      </c>
      <c r="B42" s="3" t="inlineStr">
        <is>
          <t>共通: 商品連動(ショッピング/カタログ)</t>
        </is>
      </c>
      <c r="C42" s="7" t="n">
        <v>0.3</v>
      </c>
      <c r="D42" s="7" t="n">
        <v>0.28</v>
      </c>
      <c r="E42" s="3" t="inlineStr">
        <is>
          <t>FM</t>
        </is>
      </c>
      <c r="F42" s="12" t="n">
        <v>8</v>
      </c>
      <c r="G42" s="7" t="n">
        <v>0</v>
      </c>
      <c r="H42" s="5" t="n">
        <v>0</v>
      </c>
      <c r="I42" s="5" t="n"/>
      <c r="J42" s="2" t="inlineStr">
        <is>
          <t>8月ROAS7.4。アウトレット除外後の水準で要観察</t>
        </is>
      </c>
    </row>
    <row r="43">
      <c r="A43" s="3" t="inlineStr">
        <is>
          <t>FULLMARKS STORE</t>
        </is>
      </c>
      <c r="B43" s="3" t="inlineStr">
        <is>
          <t>共通: イベント予備費(SW/年末/セール)</t>
        </is>
      </c>
      <c r="C43" s="7" t="n"/>
      <c r="D43" s="7" t="n"/>
      <c r="E43" s="3" t="inlineStr">
        <is>
          <t>EV</t>
        </is>
      </c>
      <c r="F43" s="12" t="n">
        <v>5</v>
      </c>
      <c r="G43" s="7" t="n">
        <v>0</v>
      </c>
      <c r="H43" s="5" t="n">
        <v>0</v>
      </c>
      <c r="I43" s="5" t="n"/>
      <c r="J43" s="2" t="inlineStr">
        <is>
          <t>EC企画の告知用。月次表の『イベント』列</t>
        </is>
      </c>
    </row>
    <row r="44">
      <c r="A44" s="3" t="inlineStr">
        <is>
          <t>HOUDINI STORE</t>
        </is>
      </c>
      <c r="B44" s="3" t="inlineStr">
        <is>
          <t>HOUDINI</t>
        </is>
      </c>
      <c r="C44" s="7" t="n"/>
      <c r="D44" s="7" t="n"/>
      <c r="E44" s="3" t="inlineStr">
        <is>
          <t>ST</t>
        </is>
      </c>
      <c r="F44" s="12" t="n">
        <v>8</v>
      </c>
      <c r="G44" s="7" t="n">
        <v>0</v>
      </c>
      <c r="H44" s="5" t="n">
        <v>0.25</v>
      </c>
      <c r="I44" s="5" t="n">
        <v>0.5</v>
      </c>
      <c r="J44" s="2" t="inlineStr">
        <is>
          <t>9月末開店。潜在規模＝FULLMARKS自然売上の25%。うち純増50%、残り50%はFULLMARKSからの移管</t>
        </is>
      </c>
    </row>
    <row r="45">
      <c r="A45" s="3" t="inlineStr">
        <is>
          <t>NORRONA STORE</t>
        </is>
      </c>
      <c r="B45" s="3" t="inlineStr">
        <is>
          <t>NORRØNA</t>
        </is>
      </c>
      <c r="C45" s="7" t="n"/>
      <c r="D45" s="7" t="n"/>
      <c r="E45" s="3" t="inlineStr">
        <is>
          <t>ST</t>
        </is>
      </c>
      <c r="F45" s="12" t="n">
        <v>5</v>
      </c>
      <c r="G45" s="7" t="n">
        <v>0</v>
      </c>
      <c r="H45" s="5" t="n">
        <v>0.08</v>
      </c>
      <c r="I45" s="5" t="n">
        <v>0.5</v>
      </c>
      <c r="J45" s="2" t="inlineStr">
        <is>
          <t>10月開店。潜在規模8%、純増50%</t>
        </is>
      </c>
    </row>
    <row r="46">
      <c r="A46" s="3" t="inlineStr">
        <is>
          <t>PU STORE</t>
        </is>
      </c>
      <c r="B46" s="3" t="inlineStr">
        <is>
          <t>PLUS ONE WORKS</t>
        </is>
      </c>
      <c r="C46" s="7" t="n"/>
      <c r="D46" s="7" t="n"/>
      <c r="E46" s="3" t="inlineStr">
        <is>
          <t>ST</t>
        </is>
      </c>
      <c r="F46" s="12" t="n">
        <v>3</v>
      </c>
      <c r="G46" s="7" t="n">
        <v>0</v>
      </c>
      <c r="H46" s="5" t="n">
        <v>0.05</v>
      </c>
      <c r="I46" s="5" t="n">
        <v>0.6</v>
      </c>
      <c r="J46" s="2" t="inlineStr">
        <is>
          <t>10月開店。潜在規模5%、純増60%（自社ブランドで新規比率高め）</t>
        </is>
      </c>
    </row>
    <row r="47">
      <c r="A47" s="8" t="inlineStr">
        <is>
          <t>チェック（比率・シェアの合計）</t>
        </is>
      </c>
      <c r="C47" s="13">
        <f>SUM(C35:C46)</f>
        <v/>
      </c>
      <c r="D47" s="13">
        <f>SUM(D35:D46)</f>
        <v/>
      </c>
      <c r="G47" s="13">
        <f>SUM(G35:G46)</f>
        <v/>
      </c>
      <c r="H47" s="13">
        <f>SUMIF($E$35:$E$46,"FM",H35:H46)</f>
        <v/>
      </c>
      <c r="J47" s="2" t="inlineStr">
        <is>
          <t>配分比率は各100%。自然売上シェアはFULLMARKS行の合計が100%（新ストアの潜在規模は別枠）</t>
        </is>
      </c>
    </row>
    <row r="48">
      <c r="A48" s="2" t="inlineStr">
        <is>
          <t>想定ROASの根拠: 8月実績（Google 16.1 / Meta 0.5、ブランド別は FULLMARKS内訳シート参照）を、計測復旧と文言刷新後の水準として保守的に置いた。新ストアは立ち上げ期のため低め。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2" customWidth="1" min="5" max="5"/>
    <col width="14" customWidth="1" min="6" max="6"/>
    <col width="15" customWidth="1" min="7" max="7"/>
    <col width="13" customWidth="1" min="8" max="8"/>
    <col width="9" customWidth="1" min="9" max="9"/>
    <col width="9" customWidth="1" min="10" max="10"/>
    <col width="15" customWidth="1" min="11" max="11"/>
    <col width="15" customWidth="1" min="12" max="12"/>
    <col width="14" customWidth="1" min="13" max="13"/>
    <col width="36" customWidth="1" min="14" max="14"/>
    <col width="17" customWidth="1" min="15" max="15"/>
    <col width="14" customWidth="1" min="16" max="16"/>
    <col width="14" customWidth="1" min="17" max="17"/>
    <col width="18" customWidth="1" min="18" max="18"/>
  </cols>
  <sheetData>
    <row r="1">
      <c r="A1" s="1" t="inlineStr">
        <is>
          <t>月別 売上目標（税抜）― 広告費 × ROAS ＋ 自然売上 vs 会社予算2.8億</t>
        </is>
      </c>
    </row>
    <row r="2">
      <c r="A2" s="2" t="inlineStr">
        <is>
          <t>会社予算2.8億はFULLMARKS STORE単体の予算。売上目標(4ストア計)＝FULLMARKS単体＋新ストアの純増。自然売上＝前年同月×(1−前年広告比率)×成長率。広告売上＝広告費×想定ROAS×ROAS達成度÷1.1。</t>
        </is>
      </c>
    </row>
    <row r="4">
      <c r="A4" s="14" t="inlineStr">
        <is>
          <t>月</t>
        </is>
      </c>
      <c r="B4" s="14" t="inlineStr">
        <is>
          <t>会社予算(FM単体)</t>
        </is>
      </c>
      <c r="C4" s="14" t="inlineStr">
        <is>
          <t>前年同月</t>
        </is>
      </c>
      <c r="D4" s="14" t="inlineStr">
        <is>
          <t>自然売上(4ストア計)</t>
        </is>
      </c>
      <c r="E4" s="14" t="inlineStr">
        <is>
          <t>広告費</t>
        </is>
      </c>
      <c r="F4" s="14" t="inlineStr">
        <is>
          <t>広告売上</t>
        </is>
      </c>
      <c r="G4" s="14" t="inlineStr">
        <is>
          <t>売上目標(4ストア計)</t>
        </is>
      </c>
      <c r="H4" s="14" t="inlineStr">
        <is>
          <t>予算差</t>
        </is>
      </c>
      <c r="I4" s="14" t="inlineStr">
        <is>
          <t>前年比</t>
        </is>
      </c>
      <c r="J4" s="14" t="inlineStr">
        <is>
          <t>広告費率</t>
        </is>
      </c>
      <c r="K4" s="14" t="inlineStr">
        <is>
          <t>累計 目標</t>
        </is>
      </c>
      <c r="L4" s="14" t="inlineStr">
        <is>
          <t>累計 会社予算</t>
        </is>
      </c>
      <c r="M4" s="14" t="inlineStr">
        <is>
          <t>累計 予算差</t>
        </is>
      </c>
      <c r="N4" s="14" t="inlineStr">
        <is>
          <t>備考</t>
        </is>
      </c>
      <c r="O4" s="14" t="inlineStr">
        <is>
          <t>FULLMARKS STORE 単体(移管後)</t>
        </is>
      </c>
      <c r="P4" s="14" t="inlineStr">
        <is>
          <t>FM単体 予算差</t>
        </is>
      </c>
      <c r="Q4" s="14" t="inlineStr">
        <is>
          <t>新ストア 売上(3店計)</t>
        </is>
      </c>
      <c r="R4" s="14" t="inlineStr">
        <is>
          <t>自然売上プール(FM換算・移管前)</t>
        </is>
      </c>
    </row>
    <row r="5">
      <c r="A5" s="15" t="inlineStr">
        <is>
          <t>5〜8月 実績</t>
        </is>
      </c>
      <c r="B5" s="16">
        <f>前提!$C$17</f>
        <v/>
      </c>
      <c r="C5" s="16">
        <f>前提!$D$17</f>
        <v/>
      </c>
      <c r="D5" s="17" t="n"/>
      <c r="E5" s="17" t="n"/>
      <c r="F5" s="17" t="n"/>
      <c r="G5" s="16">
        <f>前提!$B$17</f>
        <v/>
      </c>
      <c r="H5" s="18">
        <f>G5-B5</f>
        <v/>
      </c>
      <c r="I5" s="19">
        <f>G5/C5</f>
        <v/>
      </c>
      <c r="J5" s="17" t="n"/>
      <c r="K5" s="18">
        <f>G5</f>
        <v/>
      </c>
      <c r="L5" s="18">
        <f>B5</f>
        <v/>
      </c>
      <c r="M5" s="18">
        <f>K5-L5</f>
        <v/>
      </c>
      <c r="N5" s="20" t="inlineStr">
        <is>
          <t>実績。広告売り/自然売りの内訳は計測破損のため省略</t>
        </is>
      </c>
      <c r="O5" s="21">
        <f>G5</f>
        <v/>
      </c>
      <c r="P5" s="21">
        <f>O5-B5</f>
        <v/>
      </c>
      <c r="Q5" s="21" t="n">
        <v>0</v>
      </c>
      <c r="R5" s="22" t="n"/>
    </row>
    <row r="6">
      <c r="A6" s="23" t="inlineStr">
        <is>
          <t>2026-09</t>
        </is>
      </c>
      <c r="B6" s="24">
        <f>前提!B22</f>
        <v/>
      </c>
      <c r="C6" s="24">
        <f>前提!C22</f>
        <v/>
      </c>
      <c r="D6" s="24">
        <f>ストア別ブランド別!E17</f>
        <v/>
      </c>
      <c r="E6" s="24">
        <f>ストア別ブランド別!C17</f>
        <v/>
      </c>
      <c r="F6" s="24">
        <f>ストア別ブランド別!D17</f>
        <v/>
      </c>
      <c r="G6" s="25">
        <f>D6+F6</f>
        <v/>
      </c>
      <c r="H6" s="26">
        <f>G6-B6</f>
        <v/>
      </c>
      <c r="I6" s="27">
        <f>IF(C6=0,0,G6/C6)</f>
        <v/>
      </c>
      <c r="J6" s="27">
        <f>IF(G6=0,0,E6/G6)</f>
        <v/>
      </c>
      <c r="K6" s="26">
        <f>K5+G6</f>
        <v/>
      </c>
      <c r="L6" s="26">
        <f>L5+B6</f>
        <v/>
      </c>
      <c r="M6" s="26">
        <f>K6-L6</f>
        <v/>
      </c>
      <c r="N6" s="28" t="inlineStr">
        <is>
          <t>SW企画。前年950万は年間最弱月</t>
        </is>
      </c>
      <c r="O6" s="24">
        <f>ストア別ブランド別!F20</f>
        <v/>
      </c>
      <c r="P6" s="26">
        <f>O6-B6</f>
        <v/>
      </c>
      <c r="Q6" s="26">
        <f>G6-O6</f>
        <v/>
      </c>
      <c r="R6" s="26">
        <f>C6*(1-前提!$B$5)*前提!D22</f>
        <v/>
      </c>
    </row>
    <row r="7">
      <c r="A7" s="23" t="inlineStr">
        <is>
          <t>2026-10</t>
        </is>
      </c>
      <c r="B7" s="24">
        <f>前提!B23</f>
        <v/>
      </c>
      <c r="C7" s="24">
        <f>前提!C23</f>
        <v/>
      </c>
      <c r="D7" s="24">
        <f>ストア別ブランド別!I17</f>
        <v/>
      </c>
      <c r="E7" s="24">
        <f>ストア別ブランド別!G17</f>
        <v/>
      </c>
      <c r="F7" s="24">
        <f>ストア別ブランド別!H17</f>
        <v/>
      </c>
      <c r="G7" s="25">
        <f>D7+F7</f>
        <v/>
      </c>
      <c r="H7" s="26">
        <f>G7-B7</f>
        <v/>
      </c>
      <c r="I7" s="27">
        <f>IF(C7=0,0,G7/C7)</f>
        <v/>
      </c>
      <c r="J7" s="27">
        <f>IF(G7=0,0,E7/G7)</f>
        <v/>
      </c>
      <c r="K7" s="26">
        <f>K6+G7</f>
        <v/>
      </c>
      <c r="L7" s="26">
        <f>L6+B7</f>
        <v/>
      </c>
      <c r="M7" s="26">
        <f>K7-L7</f>
        <v/>
      </c>
      <c r="N7" s="28" t="inlineStr">
        <is>
          <t>3ストア稼働・広告増額。前年1,685万</t>
        </is>
      </c>
      <c r="O7" s="24">
        <f>ストア別ブランド別!J20</f>
        <v/>
      </c>
      <c r="P7" s="26">
        <f>O7-B7</f>
        <v/>
      </c>
      <c r="Q7" s="26">
        <f>G7-O7</f>
        <v/>
      </c>
      <c r="R7" s="26">
        <f>C7*(1-前提!$B$5)*前提!D23</f>
        <v/>
      </c>
    </row>
    <row r="8">
      <c r="A8" s="23" t="inlineStr">
        <is>
          <t>2026-11</t>
        </is>
      </c>
      <c r="B8" s="24">
        <f>前提!B24</f>
        <v/>
      </c>
      <c r="C8" s="24">
        <f>前提!C24</f>
        <v/>
      </c>
      <c r="D8" s="24">
        <f>ストア別ブランド別!M17</f>
        <v/>
      </c>
      <c r="E8" s="24">
        <f>ストア別ブランド別!K17</f>
        <v/>
      </c>
      <c r="F8" s="24">
        <f>ストア別ブランド別!L17</f>
        <v/>
      </c>
      <c r="G8" s="25">
        <f>D8+F8</f>
        <v/>
      </c>
      <c r="H8" s="26">
        <f>G8-B8</f>
        <v/>
      </c>
      <c r="I8" s="27">
        <f>IF(C8=0,0,G8/C8)</f>
        <v/>
      </c>
      <c r="J8" s="27">
        <f>IF(G8=0,0,E8/G8)</f>
        <v/>
      </c>
      <c r="K8" s="26">
        <f>K7+G8</f>
        <v/>
      </c>
      <c r="L8" s="26">
        <f>L7+B8</f>
        <v/>
      </c>
      <c r="M8" s="26">
        <f>K8-L8</f>
        <v/>
      </c>
      <c r="N8" s="28" t="inlineStr">
        <is>
          <t>繁忙期入り</t>
        </is>
      </c>
      <c r="O8" s="24">
        <f>ストア別ブランド別!N20</f>
        <v/>
      </c>
      <c r="P8" s="26">
        <f>O8-B8</f>
        <v/>
      </c>
      <c r="Q8" s="26">
        <f>G8-O8</f>
        <v/>
      </c>
      <c r="R8" s="26">
        <f>C8*(1-前提!$B$5)*前提!D24</f>
        <v/>
      </c>
    </row>
    <row r="9">
      <c r="A9" s="23" t="inlineStr">
        <is>
          <t>2026-12</t>
        </is>
      </c>
      <c r="B9" s="24">
        <f>前提!B25</f>
        <v/>
      </c>
      <c r="C9" s="24">
        <f>前提!C25</f>
        <v/>
      </c>
      <c r="D9" s="24">
        <f>ストア別ブランド別!Q17</f>
        <v/>
      </c>
      <c r="E9" s="24">
        <f>ストア別ブランド別!O17</f>
        <v/>
      </c>
      <c r="F9" s="24">
        <f>ストア別ブランド別!P17</f>
        <v/>
      </c>
      <c r="G9" s="25">
        <f>D9+F9</f>
        <v/>
      </c>
      <c r="H9" s="26">
        <f>G9-B9</f>
        <v/>
      </c>
      <c r="I9" s="27">
        <f>IF(C9=0,0,G9/C9)</f>
        <v/>
      </c>
      <c r="J9" s="27">
        <f>IF(G9=0,0,E9/G9)</f>
        <v/>
      </c>
      <c r="K9" s="26">
        <f>K8+G9</f>
        <v/>
      </c>
      <c r="L9" s="26">
        <f>L8+B9</f>
        <v/>
      </c>
      <c r="M9" s="26">
        <f>K9-L9</f>
        <v/>
      </c>
      <c r="N9" s="28" t="inlineStr">
        <is>
          <t>年末商戦（予備10万）</t>
        </is>
      </c>
      <c r="O9" s="24">
        <f>ストア別ブランド別!R20</f>
        <v/>
      </c>
      <c r="P9" s="26">
        <f>O9-B9</f>
        <v/>
      </c>
      <c r="Q9" s="26">
        <f>G9-O9</f>
        <v/>
      </c>
      <c r="R9" s="26">
        <f>C9*(1-前提!$B$5)*前提!D25</f>
        <v/>
      </c>
    </row>
    <row r="10">
      <c r="A10" s="23" t="inlineStr">
        <is>
          <t>2027-01</t>
        </is>
      </c>
      <c r="B10" s="24">
        <f>前提!B26</f>
        <v/>
      </c>
      <c r="C10" s="24">
        <f>前提!C26</f>
        <v/>
      </c>
      <c r="D10" s="24">
        <f>ストア別ブランド別!U17</f>
        <v/>
      </c>
      <c r="E10" s="24">
        <f>ストア別ブランド別!S17</f>
        <v/>
      </c>
      <c r="F10" s="24">
        <f>ストア別ブランド別!T17</f>
        <v/>
      </c>
      <c r="G10" s="25">
        <f>D10+F10</f>
        <v/>
      </c>
      <c r="H10" s="26">
        <f>G10-B10</f>
        <v/>
      </c>
      <c r="I10" s="27">
        <f>IF(C10=0,0,G10/C10)</f>
        <v/>
      </c>
      <c r="J10" s="27">
        <f>IF(G10=0,0,E10/G10)</f>
        <v/>
      </c>
      <c r="K10" s="26">
        <f>K9+G10</f>
        <v/>
      </c>
      <c r="L10" s="26">
        <f>L9+B10</f>
        <v/>
      </c>
      <c r="M10" s="26">
        <f>K10-L10</f>
        <v/>
      </c>
      <c r="N10" s="28" t="inlineStr">
        <is>
          <t>冬物実需</t>
        </is>
      </c>
      <c r="O10" s="24">
        <f>ストア別ブランド別!V20</f>
        <v/>
      </c>
      <c r="P10" s="26">
        <f>O10-B10</f>
        <v/>
      </c>
      <c r="Q10" s="26">
        <f>G10-O10</f>
        <v/>
      </c>
      <c r="R10" s="26">
        <f>C10*(1-前提!$B$5)*前提!D26</f>
        <v/>
      </c>
    </row>
    <row r="11">
      <c r="A11" s="23" t="inlineStr">
        <is>
          <t>2027-02</t>
        </is>
      </c>
      <c r="B11" s="24">
        <f>前提!B27</f>
        <v/>
      </c>
      <c r="C11" s="24">
        <f>前提!C27</f>
        <v/>
      </c>
      <c r="D11" s="24">
        <f>ストア別ブランド別!Y17</f>
        <v/>
      </c>
      <c r="E11" s="24">
        <f>ストア別ブランド別!W17</f>
        <v/>
      </c>
      <c r="F11" s="24">
        <f>ストア別ブランド別!X17</f>
        <v/>
      </c>
      <c r="G11" s="25">
        <f>D11+F11</f>
        <v/>
      </c>
      <c r="H11" s="26">
        <f>G11-B11</f>
        <v/>
      </c>
      <c r="I11" s="27">
        <f>IF(C11=0,0,G11/C11)</f>
        <v/>
      </c>
      <c r="J11" s="27">
        <f>IF(G11=0,0,E11/G11)</f>
        <v/>
      </c>
      <c r="K11" s="26">
        <f>K10+G11</f>
        <v/>
      </c>
      <c r="L11" s="26">
        <f>L10+B11</f>
        <v/>
      </c>
      <c r="M11" s="26">
        <f>K11-L11</f>
        <v/>
      </c>
      <c r="N11" s="28" t="inlineStr">
        <is>
          <t>冬セール（予備25万）。前年6,369万は突出値</t>
        </is>
      </c>
      <c r="O11" s="24">
        <f>ストア別ブランド別!Z20</f>
        <v/>
      </c>
      <c r="P11" s="26">
        <f>O11-B11</f>
        <v/>
      </c>
      <c r="Q11" s="26">
        <f>G11-O11</f>
        <v/>
      </c>
      <c r="R11" s="26">
        <f>C11*(1-前提!$B$5)*前提!D27</f>
        <v/>
      </c>
    </row>
    <row r="12">
      <c r="A12" s="23" t="inlineStr">
        <is>
          <t>2027-03</t>
        </is>
      </c>
      <c r="B12" s="24">
        <f>前提!B28</f>
        <v/>
      </c>
      <c r="C12" s="24">
        <f>前提!C28</f>
        <v/>
      </c>
      <c r="D12" s="24">
        <f>ストア別ブランド別!AC17</f>
        <v/>
      </c>
      <c r="E12" s="24">
        <f>ストア別ブランド別!AA17</f>
        <v/>
      </c>
      <c r="F12" s="24">
        <f>ストア別ブランド別!AB17</f>
        <v/>
      </c>
      <c r="G12" s="25">
        <f>D12+F12</f>
        <v/>
      </c>
      <c r="H12" s="26">
        <f>G12-B12</f>
        <v/>
      </c>
      <c r="I12" s="27">
        <f>IF(C12=0,0,G12/C12)</f>
        <v/>
      </c>
      <c r="J12" s="27">
        <f>IF(G12=0,0,E12/G12)</f>
        <v/>
      </c>
      <c r="K12" s="26">
        <f>K11+G12</f>
        <v/>
      </c>
      <c r="L12" s="26">
        <f>L11+B12</f>
        <v/>
      </c>
      <c r="M12" s="26">
        <f>K12-L12</f>
        <v/>
      </c>
      <c r="N12" s="28" t="inlineStr">
        <is>
          <t>端境期（予備5万）</t>
        </is>
      </c>
      <c r="O12" s="24">
        <f>ストア別ブランド別!AD20</f>
        <v/>
      </c>
      <c r="P12" s="26">
        <f>O12-B12</f>
        <v/>
      </c>
      <c r="Q12" s="26">
        <f>G12-O12</f>
        <v/>
      </c>
      <c r="R12" s="26">
        <f>C12*(1-前提!$B$5)*前提!D28</f>
        <v/>
      </c>
    </row>
    <row r="13">
      <c r="A13" s="23" t="inlineStr">
        <is>
          <t>2027-04</t>
        </is>
      </c>
      <c r="B13" s="24">
        <f>前提!B29</f>
        <v/>
      </c>
      <c r="C13" s="24">
        <f>前提!C29</f>
        <v/>
      </c>
      <c r="D13" s="24">
        <f>ストア別ブランド別!AG17</f>
        <v/>
      </c>
      <c r="E13" s="24">
        <f>ストア別ブランド別!AE17</f>
        <v/>
      </c>
      <c r="F13" s="24">
        <f>ストア別ブランド別!AF17</f>
        <v/>
      </c>
      <c r="G13" s="25">
        <f>D13+F13</f>
        <v/>
      </c>
      <c r="H13" s="26">
        <f>G13-B13</f>
        <v/>
      </c>
      <c r="I13" s="27">
        <f>IF(C13=0,0,G13/C13)</f>
        <v/>
      </c>
      <c r="J13" s="27">
        <f>IF(G13=0,0,E13/G13)</f>
        <v/>
      </c>
      <c r="K13" s="26">
        <f>K12+G13</f>
        <v/>
      </c>
      <c r="L13" s="26">
        <f>L12+B13</f>
        <v/>
      </c>
      <c r="M13" s="26">
        <f>K13-L13</f>
        <v/>
      </c>
      <c r="N13" s="28" t="inlineStr">
        <is>
          <t>調整月</t>
        </is>
      </c>
      <c r="O13" s="24">
        <f>ストア別ブランド別!AH20</f>
        <v/>
      </c>
      <c r="P13" s="26">
        <f>O13-B13</f>
        <v/>
      </c>
      <c r="Q13" s="26">
        <f>G13-O13</f>
        <v/>
      </c>
      <c r="R13" s="26">
        <f>C13*(1-前提!$B$5)*前提!D29</f>
        <v/>
      </c>
    </row>
    <row r="14">
      <c r="A14" s="29" t="inlineStr">
        <is>
          <t>年間 合計</t>
        </is>
      </c>
      <c r="B14" s="30">
        <f>B5+SUM(B6:B13)</f>
        <v/>
      </c>
      <c r="C14" s="30">
        <f>C5+SUM(C6:C13)</f>
        <v/>
      </c>
      <c r="D14" s="30">
        <f>SUM(D6:D13)</f>
        <v/>
      </c>
      <c r="E14" s="30">
        <f>SUM(E6:E13)</f>
        <v/>
      </c>
      <c r="F14" s="30">
        <f>SUM(F6:F13)</f>
        <v/>
      </c>
      <c r="G14" s="30">
        <f>G5+SUM(G6:G13)</f>
        <v/>
      </c>
      <c r="H14" s="30">
        <f>G14-B14</f>
        <v/>
      </c>
      <c r="I14" s="31">
        <f>G14/C14</f>
        <v/>
      </c>
      <c r="J14" s="31">
        <f>E14/G14</f>
        <v/>
      </c>
      <c r="K14" s="22" t="n"/>
      <c r="L14" s="22" t="n"/>
      <c r="M14" s="22" t="n"/>
      <c r="N14" s="22" t="n"/>
      <c r="O14" s="30">
        <f>O5+SUM(O6:O13)</f>
        <v/>
      </c>
      <c r="P14" s="30">
        <f>O14-B14</f>
        <v/>
      </c>
      <c r="Q14" s="30">
        <f>SUM(Q6:Q13)</f>
        <v/>
      </c>
      <c r="R14" s="30">
        <f>SUM(R6:R13)</f>
        <v/>
      </c>
    </row>
    <row r="16">
      <c r="A16" s="8" t="inlineStr">
        <is>
          <t>年間目標 vs 会社予算2.8億</t>
        </is>
      </c>
      <c r="G16" s="32">
        <f>G14-前提!$B$6</f>
        <v/>
      </c>
    </row>
    <row r="17">
      <c r="A17" s="8" t="inlineStr">
        <is>
          <t>年間目標 vs ストレッチ3.2億</t>
        </is>
      </c>
      <c r="G17" s="32">
        <f>G14-前提!$B$7</f>
        <v/>
      </c>
    </row>
    <row r="18">
      <c r="A18" s="8" t="inlineStr">
        <is>
          <t>年間 広告売上ROAS（税抜）</t>
        </is>
      </c>
      <c r="G18" s="33">
        <f>F14/E14</f>
        <v/>
      </c>
    </row>
    <row r="19">
      <c r="A19" s="8" t="inlineStr">
        <is>
          <t>FULLMARKS STORE 単体 vs 会社予算2.8億</t>
        </is>
      </c>
      <c r="G19" s="32">
        <f>O14-前提!$B$6</f>
        <v/>
      </c>
    </row>
    <row r="20">
      <c r="A20" s="8" t="inlineStr">
        <is>
          <t>新ストア 売上（年間・3店計）</t>
        </is>
      </c>
      <c r="G20" s="32">
        <f>Q14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ストア別・ブランド別 月次目標（税抜）＝ 広告費 × ROAS ÷ 1.1 ＋ 自然売上</t>
        </is>
      </c>
    </row>
    <row r="2">
      <c r="A2" s="2" t="inlineStr">
        <is>
          <t>各月4列: 広告費 / 広告売上 / 自然売上 / 合計。広告売上＝広告費×想定ROAS×月別ROAS達成度÷1.1。新ストアの自然売上＝FULLMARKS自然売上×潜在規模。FULLMARKS側は移管分（潜在規模×(1−純増率)）を差し引く。</t>
        </is>
      </c>
    </row>
    <row r="3">
      <c r="A3" s="34" t="n"/>
      <c r="B3" s="34" t="n"/>
      <c r="C3" s="14" t="inlineStr">
        <is>
          <t>2026-09</t>
        </is>
      </c>
      <c r="D3" s="22" t="n"/>
      <c r="E3" s="22" t="n"/>
      <c r="F3" s="22" t="n"/>
      <c r="G3" s="14" t="inlineStr">
        <is>
          <t>2026-10</t>
        </is>
      </c>
      <c r="H3" s="22" t="n"/>
      <c r="I3" s="22" t="n"/>
      <c r="J3" s="22" t="n"/>
      <c r="K3" s="14" t="inlineStr">
        <is>
          <t>2026-11</t>
        </is>
      </c>
      <c r="L3" s="22" t="n"/>
      <c r="M3" s="22" t="n"/>
      <c r="N3" s="22" t="n"/>
      <c r="O3" s="14" t="inlineStr">
        <is>
          <t>2026-12</t>
        </is>
      </c>
      <c r="P3" s="22" t="n"/>
      <c r="Q3" s="22" t="n"/>
      <c r="R3" s="22" t="n"/>
      <c r="S3" s="14" t="inlineStr">
        <is>
          <t>2027-01</t>
        </is>
      </c>
      <c r="T3" s="22" t="n"/>
      <c r="U3" s="22" t="n"/>
      <c r="V3" s="22" t="n"/>
      <c r="W3" s="14" t="inlineStr">
        <is>
          <t>2027-02</t>
        </is>
      </c>
      <c r="X3" s="22" t="n"/>
      <c r="Y3" s="22" t="n"/>
      <c r="Z3" s="22" t="n"/>
      <c r="AA3" s="14" t="inlineStr">
        <is>
          <t>2027-03</t>
        </is>
      </c>
      <c r="AB3" s="22" t="n"/>
      <c r="AC3" s="22" t="n"/>
      <c r="AD3" s="22" t="n"/>
      <c r="AE3" s="14" t="inlineStr">
        <is>
          <t>2027-04</t>
        </is>
      </c>
      <c r="AF3" s="22" t="n"/>
      <c r="AG3" s="22" t="n"/>
      <c r="AH3" s="22" t="n"/>
      <c r="AI3" s="14" t="inlineStr">
        <is>
          <t>年間(9〜4月)</t>
        </is>
      </c>
      <c r="AJ3" s="22" t="n"/>
      <c r="AK3" s="22" t="n"/>
      <c r="AL3" s="22" t="n"/>
    </row>
    <row r="4">
      <c r="A4" s="35" t="inlineStr">
        <is>
          <t>ストア</t>
        </is>
      </c>
      <c r="B4" s="35" t="inlineStr">
        <is>
          <t>ブランド/枠</t>
        </is>
      </c>
      <c r="C4" s="14" t="inlineStr">
        <is>
          <t>広告費</t>
        </is>
      </c>
      <c r="D4" s="14" t="inlineStr">
        <is>
          <t>広告売上</t>
        </is>
      </c>
      <c r="E4" s="14" t="inlineStr">
        <is>
          <t>自然売上</t>
        </is>
      </c>
      <c r="F4" s="14" t="inlineStr">
        <is>
          <t>合計</t>
        </is>
      </c>
      <c r="G4" s="14" t="inlineStr">
        <is>
          <t>広告費</t>
        </is>
      </c>
      <c r="H4" s="14" t="inlineStr">
        <is>
          <t>広告売上</t>
        </is>
      </c>
      <c r="I4" s="14" t="inlineStr">
        <is>
          <t>自然売上</t>
        </is>
      </c>
      <c r="J4" s="14" t="inlineStr">
        <is>
          <t>合計</t>
        </is>
      </c>
      <c r="K4" s="14" t="inlineStr">
        <is>
          <t>広告費</t>
        </is>
      </c>
      <c r="L4" s="14" t="inlineStr">
        <is>
          <t>広告売上</t>
        </is>
      </c>
      <c r="M4" s="14" t="inlineStr">
        <is>
          <t>自然売上</t>
        </is>
      </c>
      <c r="N4" s="14" t="inlineStr">
        <is>
          <t>合計</t>
        </is>
      </c>
      <c r="O4" s="14" t="inlineStr">
        <is>
          <t>広告費</t>
        </is>
      </c>
      <c r="P4" s="14" t="inlineStr">
        <is>
          <t>広告売上</t>
        </is>
      </c>
      <c r="Q4" s="14" t="inlineStr">
        <is>
          <t>自然売上</t>
        </is>
      </c>
      <c r="R4" s="14" t="inlineStr">
        <is>
          <t>合計</t>
        </is>
      </c>
      <c r="S4" s="14" t="inlineStr">
        <is>
          <t>広告費</t>
        </is>
      </c>
      <c r="T4" s="14" t="inlineStr">
        <is>
          <t>広告売上</t>
        </is>
      </c>
      <c r="U4" s="14" t="inlineStr">
        <is>
          <t>自然売上</t>
        </is>
      </c>
      <c r="V4" s="14" t="inlineStr">
        <is>
          <t>合計</t>
        </is>
      </c>
      <c r="W4" s="14" t="inlineStr">
        <is>
          <t>広告費</t>
        </is>
      </c>
      <c r="X4" s="14" t="inlineStr">
        <is>
          <t>広告売上</t>
        </is>
      </c>
      <c r="Y4" s="14" t="inlineStr">
        <is>
          <t>自然売上</t>
        </is>
      </c>
      <c r="Z4" s="14" t="inlineStr">
        <is>
          <t>合計</t>
        </is>
      </c>
      <c r="AA4" s="14" t="inlineStr">
        <is>
          <t>広告費</t>
        </is>
      </c>
      <c r="AB4" s="14" t="inlineStr">
        <is>
          <t>広告売上</t>
        </is>
      </c>
      <c r="AC4" s="14" t="inlineStr">
        <is>
          <t>自然売上</t>
        </is>
      </c>
      <c r="AD4" s="14" t="inlineStr">
        <is>
          <t>合計</t>
        </is>
      </c>
      <c r="AE4" s="14" t="inlineStr">
        <is>
          <t>広告費</t>
        </is>
      </c>
      <c r="AF4" s="14" t="inlineStr">
        <is>
          <t>広告売上</t>
        </is>
      </c>
      <c r="AG4" s="14" t="inlineStr">
        <is>
          <t>自然売上</t>
        </is>
      </c>
      <c r="AH4" s="14" t="inlineStr">
        <is>
          <t>合計</t>
        </is>
      </c>
      <c r="AI4" s="14" t="inlineStr">
        <is>
          <t>広告費</t>
        </is>
      </c>
      <c r="AJ4" s="14" t="inlineStr">
        <is>
          <t>広告売上</t>
        </is>
      </c>
      <c r="AK4" s="14" t="inlineStr">
        <is>
          <t>自然売上</t>
        </is>
      </c>
      <c r="AL4" s="14" t="inlineStr">
        <is>
          <t>合計</t>
        </is>
      </c>
    </row>
    <row r="5">
      <c r="A5" s="23" t="inlineStr">
        <is>
          <t>FULLMARKS STORE</t>
        </is>
      </c>
      <c r="B5" s="23" t="inlineStr">
        <is>
          <t>HOUDINI</t>
        </is>
      </c>
      <c r="C5" s="24">
        <f>(前提!$E$22-前提!$F$22)*IF(TRUE,1,1-3*前提!$B$8)*IF(TRUE,前提!$C$35,前提!$D$35)</f>
        <v/>
      </c>
      <c r="D5" s="24">
        <f>C5*前提!$F$35*前提!$G$22/前提!$B$4</f>
        <v/>
      </c>
      <c r="E5" s="24">
        <f>月別目標!$R$6*IF(TRUE,前提!$G$35,前提!$H$35)-IF(TRUE,0,月別目標!$R$6*前提!$H$44*(1-前提!$I$44))</f>
        <v/>
      </c>
      <c r="F5" s="25">
        <f>D5+E5</f>
        <v/>
      </c>
      <c r="G5" s="24">
        <f>(前提!$E$23-前提!$F$23)*IF(FALSE,1,1-3*前提!$B$8)*IF(FALSE,前提!$C$35,前提!$D$35)</f>
        <v/>
      </c>
      <c r="H5" s="24">
        <f>G5*前提!$F$35*前提!$G$23/前提!$B$4</f>
        <v/>
      </c>
      <c r="I5" s="24">
        <f>月別目標!$R$7*IF(FALSE,前提!$G$35,前提!$H$35)-IF(FALSE,0,月別目標!$R$7*前提!$H$44*(1-前提!$I$44))</f>
        <v/>
      </c>
      <c r="J5" s="25">
        <f>H5+I5</f>
        <v/>
      </c>
      <c r="K5" s="24">
        <f>(前提!$E$24-前提!$F$24)*IF(FALSE,1,1-3*前提!$B$8)*IF(FALSE,前提!$C$35,前提!$D$35)</f>
        <v/>
      </c>
      <c r="L5" s="24">
        <f>K5*前提!$F$35*前提!$G$24/前提!$B$4</f>
        <v/>
      </c>
      <c r="M5" s="24">
        <f>月別目標!$R$8*IF(FALSE,前提!$G$35,前提!$H$35)-IF(FALSE,0,月別目標!$R$8*前提!$H$44*(1-前提!$I$44))</f>
        <v/>
      </c>
      <c r="N5" s="25">
        <f>L5+M5</f>
        <v/>
      </c>
      <c r="O5" s="24">
        <f>(前提!$E$25-前提!$F$25)*IF(FALSE,1,1-3*前提!$B$8)*IF(FALSE,前提!$C$35,前提!$D$35)</f>
        <v/>
      </c>
      <c r="P5" s="24">
        <f>O5*前提!$F$35*前提!$G$25/前提!$B$4</f>
        <v/>
      </c>
      <c r="Q5" s="24">
        <f>月別目標!$R$9*IF(FALSE,前提!$G$35,前提!$H$35)-IF(FALSE,0,月別目標!$R$9*前提!$H$44*(1-前提!$I$44))</f>
        <v/>
      </c>
      <c r="R5" s="25">
        <f>P5+Q5</f>
        <v/>
      </c>
      <c r="S5" s="24">
        <f>(前提!$E$26-前提!$F$26)*IF(FALSE,1,1-3*前提!$B$8)*IF(FALSE,前提!$C$35,前提!$D$35)</f>
        <v/>
      </c>
      <c r="T5" s="24">
        <f>S5*前提!$F$35*前提!$G$26/前提!$B$4</f>
        <v/>
      </c>
      <c r="U5" s="24">
        <f>月別目標!$R$10*IF(FALSE,前提!$G$35,前提!$H$35)-IF(FALSE,0,月別目標!$R$10*前提!$H$44*(1-前提!$I$44))</f>
        <v/>
      </c>
      <c r="V5" s="25">
        <f>T5+U5</f>
        <v/>
      </c>
      <c r="W5" s="24">
        <f>(前提!$E$27-前提!$F$27)*IF(FALSE,1,1-3*前提!$B$8)*IF(FALSE,前提!$C$35,前提!$D$35)</f>
        <v/>
      </c>
      <c r="X5" s="24">
        <f>W5*前提!$F$35*前提!$G$27/前提!$B$4</f>
        <v/>
      </c>
      <c r="Y5" s="24">
        <f>月別目標!$R$11*IF(FALSE,前提!$G$35,前提!$H$35)-IF(FALSE,0,月別目標!$R$11*前提!$H$44*(1-前提!$I$44))</f>
        <v/>
      </c>
      <c r="Z5" s="25">
        <f>X5+Y5</f>
        <v/>
      </c>
      <c r="AA5" s="24">
        <f>(前提!$E$28-前提!$F$28)*IF(FALSE,1,1-3*前提!$B$8)*IF(FALSE,前提!$C$35,前提!$D$35)</f>
        <v/>
      </c>
      <c r="AB5" s="24">
        <f>AA5*前提!$F$35*前提!$G$28/前提!$B$4</f>
        <v/>
      </c>
      <c r="AC5" s="24">
        <f>月別目標!$R$12*IF(FALSE,前提!$G$35,前提!$H$35)-IF(FALSE,0,月別目標!$R$12*前提!$H$44*(1-前提!$I$44))</f>
        <v/>
      </c>
      <c r="AD5" s="25">
        <f>AB5+AC5</f>
        <v/>
      </c>
      <c r="AE5" s="24">
        <f>(前提!$E$29-前提!$F$29)*IF(FALSE,1,1-3*前提!$B$8)*IF(FALSE,前提!$C$35,前提!$D$35)</f>
        <v/>
      </c>
      <c r="AF5" s="24">
        <f>AE5*前提!$F$35*前提!$G$29/前提!$B$4</f>
        <v/>
      </c>
      <c r="AG5" s="24">
        <f>月別目標!$R$13*IF(FALSE,前提!$G$35,前提!$H$35)-IF(FALSE,0,月別目標!$R$13*前提!$H$44*(1-前提!$I$44))</f>
        <v/>
      </c>
      <c r="AH5" s="25">
        <f>AF5+AG5</f>
        <v/>
      </c>
      <c r="AI5" s="26">
        <f>C5+G5+K5+O5+S5+W5+AA5+AE5</f>
        <v/>
      </c>
      <c r="AJ5" s="26">
        <f>D5+H5+L5+P5+T5+X5+AB5+AF5</f>
        <v/>
      </c>
      <c r="AK5" s="26">
        <f>E5+I5+M5+Q5+U5+Y5+AC5+AG5</f>
        <v/>
      </c>
      <c r="AL5" s="25">
        <f>F5+J5+N5+R5+V5+Z5+AD5+AH5</f>
        <v/>
      </c>
    </row>
    <row r="6">
      <c r="A6" s="23" t="inlineStr">
        <is>
          <t>FULLMARKS STORE</t>
        </is>
      </c>
      <c r="B6" s="23" t="inlineStr">
        <is>
          <t>NORRØNA</t>
        </is>
      </c>
      <c r="C6" s="24">
        <f>(前提!$E$22-前提!$F$22)*IF(TRUE,1,1-3*前提!$B$8)*IF(TRUE,前提!$C$36,前提!$D$36)</f>
        <v/>
      </c>
      <c r="D6" s="24">
        <f>C6*前提!$F$36*前提!$G$22/前提!$B$4</f>
        <v/>
      </c>
      <c r="E6" s="24">
        <f>月別目標!$R$6*IF(TRUE,前提!$G$36,前提!$H$36)-IF(TRUE,0,月別目標!$R$6*前提!$H$45*(1-前提!$I$45))</f>
        <v/>
      </c>
      <c r="F6" s="25">
        <f>D6+E6</f>
        <v/>
      </c>
      <c r="G6" s="24">
        <f>(前提!$E$23-前提!$F$23)*IF(FALSE,1,1-3*前提!$B$8)*IF(FALSE,前提!$C$36,前提!$D$36)</f>
        <v/>
      </c>
      <c r="H6" s="24">
        <f>G6*前提!$F$36*前提!$G$23/前提!$B$4</f>
        <v/>
      </c>
      <c r="I6" s="24">
        <f>月別目標!$R$7*IF(FALSE,前提!$G$36,前提!$H$36)-IF(FALSE,0,月別目標!$R$7*前提!$H$45*(1-前提!$I$45))</f>
        <v/>
      </c>
      <c r="J6" s="25">
        <f>H6+I6</f>
        <v/>
      </c>
      <c r="K6" s="24">
        <f>(前提!$E$24-前提!$F$24)*IF(FALSE,1,1-3*前提!$B$8)*IF(FALSE,前提!$C$36,前提!$D$36)</f>
        <v/>
      </c>
      <c r="L6" s="24">
        <f>K6*前提!$F$36*前提!$G$24/前提!$B$4</f>
        <v/>
      </c>
      <c r="M6" s="24">
        <f>月別目標!$R$8*IF(FALSE,前提!$G$36,前提!$H$36)-IF(FALSE,0,月別目標!$R$8*前提!$H$45*(1-前提!$I$45))</f>
        <v/>
      </c>
      <c r="N6" s="25">
        <f>L6+M6</f>
        <v/>
      </c>
      <c r="O6" s="24">
        <f>(前提!$E$25-前提!$F$25)*IF(FALSE,1,1-3*前提!$B$8)*IF(FALSE,前提!$C$36,前提!$D$36)</f>
        <v/>
      </c>
      <c r="P6" s="24">
        <f>O6*前提!$F$36*前提!$G$25/前提!$B$4</f>
        <v/>
      </c>
      <c r="Q6" s="24">
        <f>月別目標!$R$9*IF(FALSE,前提!$G$36,前提!$H$36)-IF(FALSE,0,月別目標!$R$9*前提!$H$45*(1-前提!$I$45))</f>
        <v/>
      </c>
      <c r="R6" s="25">
        <f>P6+Q6</f>
        <v/>
      </c>
      <c r="S6" s="24">
        <f>(前提!$E$26-前提!$F$26)*IF(FALSE,1,1-3*前提!$B$8)*IF(FALSE,前提!$C$36,前提!$D$36)</f>
        <v/>
      </c>
      <c r="T6" s="24">
        <f>S6*前提!$F$36*前提!$G$26/前提!$B$4</f>
        <v/>
      </c>
      <c r="U6" s="24">
        <f>月別目標!$R$10*IF(FALSE,前提!$G$36,前提!$H$36)-IF(FALSE,0,月別目標!$R$10*前提!$H$45*(1-前提!$I$45))</f>
        <v/>
      </c>
      <c r="V6" s="25">
        <f>T6+U6</f>
        <v/>
      </c>
      <c r="W6" s="24">
        <f>(前提!$E$27-前提!$F$27)*IF(FALSE,1,1-3*前提!$B$8)*IF(FALSE,前提!$C$36,前提!$D$36)</f>
        <v/>
      </c>
      <c r="X6" s="24">
        <f>W6*前提!$F$36*前提!$G$27/前提!$B$4</f>
        <v/>
      </c>
      <c r="Y6" s="24">
        <f>月別目標!$R$11*IF(FALSE,前提!$G$36,前提!$H$36)-IF(FALSE,0,月別目標!$R$11*前提!$H$45*(1-前提!$I$45))</f>
        <v/>
      </c>
      <c r="Z6" s="25">
        <f>X6+Y6</f>
        <v/>
      </c>
      <c r="AA6" s="24">
        <f>(前提!$E$28-前提!$F$28)*IF(FALSE,1,1-3*前提!$B$8)*IF(FALSE,前提!$C$36,前提!$D$36)</f>
        <v/>
      </c>
      <c r="AB6" s="24">
        <f>AA6*前提!$F$36*前提!$G$28/前提!$B$4</f>
        <v/>
      </c>
      <c r="AC6" s="24">
        <f>月別目標!$R$12*IF(FALSE,前提!$G$36,前提!$H$36)-IF(FALSE,0,月別目標!$R$12*前提!$H$45*(1-前提!$I$45))</f>
        <v/>
      </c>
      <c r="AD6" s="25">
        <f>AB6+AC6</f>
        <v/>
      </c>
      <c r="AE6" s="24">
        <f>(前提!$E$29-前提!$F$29)*IF(FALSE,1,1-3*前提!$B$8)*IF(FALSE,前提!$C$36,前提!$D$36)</f>
        <v/>
      </c>
      <c r="AF6" s="24">
        <f>AE6*前提!$F$36*前提!$G$29/前提!$B$4</f>
        <v/>
      </c>
      <c r="AG6" s="24">
        <f>月別目標!$R$13*IF(FALSE,前提!$G$36,前提!$H$36)-IF(FALSE,0,月別目標!$R$13*前提!$H$45*(1-前提!$I$45))</f>
        <v/>
      </c>
      <c r="AH6" s="25">
        <f>AF6+AG6</f>
        <v/>
      </c>
      <c r="AI6" s="26">
        <f>C6+G6+K6+O6+S6+W6+AA6+AE6</f>
        <v/>
      </c>
      <c r="AJ6" s="26">
        <f>D6+H6+L6+P6+T6+X6+AB6+AF6</f>
        <v/>
      </c>
      <c r="AK6" s="26">
        <f>E6+I6+M6+Q6+U6+Y6+AC6+AG6</f>
        <v/>
      </c>
      <c r="AL6" s="25">
        <f>F6+J6+N6+R6+V6+Z6+AD6+AH6</f>
        <v/>
      </c>
    </row>
    <row r="7">
      <c r="A7" s="23" t="inlineStr">
        <is>
          <t>FULLMARKS STORE</t>
        </is>
      </c>
      <c r="B7" s="23" t="inlineStr">
        <is>
          <t>POC</t>
        </is>
      </c>
      <c r="C7" s="24">
        <f>(前提!$E$22-前提!$F$22)*IF(TRUE,1,1-3*前提!$B$8)*IF(TRUE,前提!$C$37,前提!$D$37)</f>
        <v/>
      </c>
      <c r="D7" s="24">
        <f>C7*前提!$F$37*前提!$G$22/前提!$B$4</f>
        <v/>
      </c>
      <c r="E7" s="24">
        <f>月別目標!$R$6*IF(TRUE,前提!$G$37,前提!$H$37)</f>
        <v/>
      </c>
      <c r="F7" s="25">
        <f>D7+E7</f>
        <v/>
      </c>
      <c r="G7" s="24">
        <f>(前提!$E$23-前提!$F$23)*IF(FALSE,1,1-3*前提!$B$8)*IF(FALSE,前提!$C$37,前提!$D$37)</f>
        <v/>
      </c>
      <c r="H7" s="24">
        <f>G7*前提!$F$37*前提!$G$23/前提!$B$4</f>
        <v/>
      </c>
      <c r="I7" s="24">
        <f>月別目標!$R$7*IF(FALSE,前提!$G$37,前提!$H$37)</f>
        <v/>
      </c>
      <c r="J7" s="25">
        <f>H7+I7</f>
        <v/>
      </c>
      <c r="K7" s="24">
        <f>(前提!$E$24-前提!$F$24)*IF(FALSE,1,1-3*前提!$B$8)*IF(FALSE,前提!$C$37,前提!$D$37)</f>
        <v/>
      </c>
      <c r="L7" s="24">
        <f>K7*前提!$F$37*前提!$G$24/前提!$B$4</f>
        <v/>
      </c>
      <c r="M7" s="24">
        <f>月別目標!$R$8*IF(FALSE,前提!$G$37,前提!$H$37)</f>
        <v/>
      </c>
      <c r="N7" s="25">
        <f>L7+M7</f>
        <v/>
      </c>
      <c r="O7" s="24">
        <f>(前提!$E$25-前提!$F$25)*IF(FALSE,1,1-3*前提!$B$8)*IF(FALSE,前提!$C$37,前提!$D$37)</f>
        <v/>
      </c>
      <c r="P7" s="24">
        <f>O7*前提!$F$37*前提!$G$25/前提!$B$4</f>
        <v/>
      </c>
      <c r="Q7" s="24">
        <f>月別目標!$R$9*IF(FALSE,前提!$G$37,前提!$H$37)</f>
        <v/>
      </c>
      <c r="R7" s="25">
        <f>P7+Q7</f>
        <v/>
      </c>
      <c r="S7" s="24">
        <f>(前提!$E$26-前提!$F$26)*IF(FALSE,1,1-3*前提!$B$8)*IF(FALSE,前提!$C$37,前提!$D$37)</f>
        <v/>
      </c>
      <c r="T7" s="24">
        <f>S7*前提!$F$37*前提!$G$26/前提!$B$4</f>
        <v/>
      </c>
      <c r="U7" s="24">
        <f>月別目標!$R$10*IF(FALSE,前提!$G$37,前提!$H$37)</f>
        <v/>
      </c>
      <c r="V7" s="25">
        <f>T7+U7</f>
        <v/>
      </c>
      <c r="W7" s="24">
        <f>(前提!$E$27-前提!$F$27)*IF(FALSE,1,1-3*前提!$B$8)*IF(FALSE,前提!$C$37,前提!$D$37)</f>
        <v/>
      </c>
      <c r="X7" s="24">
        <f>W7*前提!$F$37*前提!$G$27/前提!$B$4</f>
        <v/>
      </c>
      <c r="Y7" s="24">
        <f>月別目標!$R$11*IF(FALSE,前提!$G$37,前提!$H$37)</f>
        <v/>
      </c>
      <c r="Z7" s="25">
        <f>X7+Y7</f>
        <v/>
      </c>
      <c r="AA7" s="24">
        <f>(前提!$E$28-前提!$F$28)*IF(FALSE,1,1-3*前提!$B$8)*IF(FALSE,前提!$C$37,前提!$D$37)</f>
        <v/>
      </c>
      <c r="AB7" s="24">
        <f>AA7*前提!$F$37*前提!$G$28/前提!$B$4</f>
        <v/>
      </c>
      <c r="AC7" s="24">
        <f>月別目標!$R$12*IF(FALSE,前提!$G$37,前提!$H$37)</f>
        <v/>
      </c>
      <c r="AD7" s="25">
        <f>AB7+AC7</f>
        <v/>
      </c>
      <c r="AE7" s="24">
        <f>(前提!$E$29-前提!$F$29)*IF(FALSE,1,1-3*前提!$B$8)*IF(FALSE,前提!$C$37,前提!$D$37)</f>
        <v/>
      </c>
      <c r="AF7" s="24">
        <f>AE7*前提!$F$37*前提!$G$29/前提!$B$4</f>
        <v/>
      </c>
      <c r="AG7" s="24">
        <f>月別目標!$R$13*IF(FALSE,前提!$G$37,前提!$H$37)</f>
        <v/>
      </c>
      <c r="AH7" s="25">
        <f>AF7+AG7</f>
        <v/>
      </c>
      <c r="AI7" s="26">
        <f>C7+G7+K7+O7+S7+W7+AA7+AE7</f>
        <v/>
      </c>
      <c r="AJ7" s="26">
        <f>D7+H7+L7+P7+T7+X7+AB7+AF7</f>
        <v/>
      </c>
      <c r="AK7" s="26">
        <f>E7+I7+M7+Q7+U7+Y7+AC7+AG7</f>
        <v/>
      </c>
      <c r="AL7" s="25">
        <f>F7+J7+N7+R7+V7+Z7+AD7+AH7</f>
        <v/>
      </c>
    </row>
    <row r="8">
      <c r="A8" s="23" t="inlineStr">
        <is>
          <t>FULLMARKS STORE</t>
        </is>
      </c>
      <c r="B8" s="23" t="inlineStr">
        <is>
          <t>ACLIMA</t>
        </is>
      </c>
      <c r="C8" s="24">
        <f>(前提!$E$22-前提!$F$22)*IF(TRUE,1,1-3*前提!$B$8)*IF(TRUE,前提!$C$38,前提!$D$38)</f>
        <v/>
      </c>
      <c r="D8" s="24">
        <f>C8*前提!$F$38*前提!$G$22/前提!$B$4</f>
        <v/>
      </c>
      <c r="E8" s="24">
        <f>月別目標!$R$6*IF(TRUE,前提!$G$38,前提!$H$38)</f>
        <v/>
      </c>
      <c r="F8" s="25">
        <f>D8+E8</f>
        <v/>
      </c>
      <c r="G8" s="24">
        <f>(前提!$E$23-前提!$F$23)*IF(FALSE,1,1-3*前提!$B$8)*IF(FALSE,前提!$C$38,前提!$D$38)</f>
        <v/>
      </c>
      <c r="H8" s="24">
        <f>G8*前提!$F$38*前提!$G$23/前提!$B$4</f>
        <v/>
      </c>
      <c r="I8" s="24">
        <f>月別目標!$R$7*IF(FALSE,前提!$G$38,前提!$H$38)</f>
        <v/>
      </c>
      <c r="J8" s="25">
        <f>H8+I8</f>
        <v/>
      </c>
      <c r="K8" s="24">
        <f>(前提!$E$24-前提!$F$24)*IF(FALSE,1,1-3*前提!$B$8)*IF(FALSE,前提!$C$38,前提!$D$38)</f>
        <v/>
      </c>
      <c r="L8" s="24">
        <f>K8*前提!$F$38*前提!$G$24/前提!$B$4</f>
        <v/>
      </c>
      <c r="M8" s="24">
        <f>月別目標!$R$8*IF(FALSE,前提!$G$38,前提!$H$38)</f>
        <v/>
      </c>
      <c r="N8" s="25">
        <f>L8+M8</f>
        <v/>
      </c>
      <c r="O8" s="24">
        <f>(前提!$E$25-前提!$F$25)*IF(FALSE,1,1-3*前提!$B$8)*IF(FALSE,前提!$C$38,前提!$D$38)</f>
        <v/>
      </c>
      <c r="P8" s="24">
        <f>O8*前提!$F$38*前提!$G$25/前提!$B$4</f>
        <v/>
      </c>
      <c r="Q8" s="24">
        <f>月別目標!$R$9*IF(FALSE,前提!$G$38,前提!$H$38)</f>
        <v/>
      </c>
      <c r="R8" s="25">
        <f>P8+Q8</f>
        <v/>
      </c>
      <c r="S8" s="24">
        <f>(前提!$E$26-前提!$F$26)*IF(FALSE,1,1-3*前提!$B$8)*IF(FALSE,前提!$C$38,前提!$D$38)</f>
        <v/>
      </c>
      <c r="T8" s="24">
        <f>S8*前提!$F$38*前提!$G$26/前提!$B$4</f>
        <v/>
      </c>
      <c r="U8" s="24">
        <f>月別目標!$R$10*IF(FALSE,前提!$G$38,前提!$H$38)</f>
        <v/>
      </c>
      <c r="V8" s="25">
        <f>T8+U8</f>
        <v/>
      </c>
      <c r="W8" s="24">
        <f>(前提!$E$27-前提!$F$27)*IF(FALSE,1,1-3*前提!$B$8)*IF(FALSE,前提!$C$38,前提!$D$38)</f>
        <v/>
      </c>
      <c r="X8" s="24">
        <f>W8*前提!$F$38*前提!$G$27/前提!$B$4</f>
        <v/>
      </c>
      <c r="Y8" s="24">
        <f>月別目標!$R$11*IF(FALSE,前提!$G$38,前提!$H$38)</f>
        <v/>
      </c>
      <c r="Z8" s="25">
        <f>X8+Y8</f>
        <v/>
      </c>
      <c r="AA8" s="24">
        <f>(前提!$E$28-前提!$F$28)*IF(FALSE,1,1-3*前提!$B$8)*IF(FALSE,前提!$C$38,前提!$D$38)</f>
        <v/>
      </c>
      <c r="AB8" s="24">
        <f>AA8*前提!$F$38*前提!$G$28/前提!$B$4</f>
        <v/>
      </c>
      <c r="AC8" s="24">
        <f>月別目標!$R$12*IF(FALSE,前提!$G$38,前提!$H$38)</f>
        <v/>
      </c>
      <c r="AD8" s="25">
        <f>AB8+AC8</f>
        <v/>
      </c>
      <c r="AE8" s="24">
        <f>(前提!$E$29-前提!$F$29)*IF(FALSE,1,1-3*前提!$B$8)*IF(FALSE,前提!$C$38,前提!$D$38)</f>
        <v/>
      </c>
      <c r="AF8" s="24">
        <f>AE8*前提!$F$38*前提!$G$29/前提!$B$4</f>
        <v/>
      </c>
      <c r="AG8" s="24">
        <f>月別目標!$R$13*IF(FALSE,前提!$G$38,前提!$H$38)</f>
        <v/>
      </c>
      <c r="AH8" s="25">
        <f>AF8+AG8</f>
        <v/>
      </c>
      <c r="AI8" s="26">
        <f>C8+G8+K8+O8+S8+W8+AA8+AE8</f>
        <v/>
      </c>
      <c r="AJ8" s="26">
        <f>D8+H8+L8+P8+T8+X8+AB8+AF8</f>
        <v/>
      </c>
      <c r="AK8" s="26">
        <f>E8+I8+M8+Q8+U8+Y8+AC8+AG8</f>
        <v/>
      </c>
      <c r="AL8" s="25">
        <f>F8+J8+N8+R8+V8+Z8+AD8+AH8</f>
        <v/>
      </c>
    </row>
    <row r="9">
      <c r="A9" s="23" t="inlineStr">
        <is>
          <t>FULLMARKS STORE</t>
        </is>
      </c>
      <c r="B9" s="23" t="inlineStr">
        <is>
          <t>HESTRA</t>
        </is>
      </c>
      <c r="C9" s="24">
        <f>(前提!$E$22-前提!$F$22)*IF(TRUE,1,1-3*前提!$B$8)*IF(TRUE,前提!$C$39,前提!$D$39)</f>
        <v/>
      </c>
      <c r="D9" s="24">
        <f>C9*前提!$F$39*前提!$G$22/前提!$B$4</f>
        <v/>
      </c>
      <c r="E9" s="24">
        <f>月別目標!$R$6*IF(TRUE,前提!$G$39,前提!$H$39)</f>
        <v/>
      </c>
      <c r="F9" s="25">
        <f>D9+E9</f>
        <v/>
      </c>
      <c r="G9" s="24">
        <f>(前提!$E$23-前提!$F$23)*IF(FALSE,1,1-3*前提!$B$8)*IF(FALSE,前提!$C$39,前提!$D$39)</f>
        <v/>
      </c>
      <c r="H9" s="24">
        <f>G9*前提!$F$39*前提!$G$23/前提!$B$4</f>
        <v/>
      </c>
      <c r="I9" s="24">
        <f>月別目標!$R$7*IF(FALSE,前提!$G$39,前提!$H$39)</f>
        <v/>
      </c>
      <c r="J9" s="25">
        <f>H9+I9</f>
        <v/>
      </c>
      <c r="K9" s="24">
        <f>(前提!$E$24-前提!$F$24)*IF(FALSE,1,1-3*前提!$B$8)*IF(FALSE,前提!$C$39,前提!$D$39)</f>
        <v/>
      </c>
      <c r="L9" s="24">
        <f>K9*前提!$F$39*前提!$G$24/前提!$B$4</f>
        <v/>
      </c>
      <c r="M9" s="24">
        <f>月別目標!$R$8*IF(FALSE,前提!$G$39,前提!$H$39)</f>
        <v/>
      </c>
      <c r="N9" s="25">
        <f>L9+M9</f>
        <v/>
      </c>
      <c r="O9" s="24">
        <f>(前提!$E$25-前提!$F$25)*IF(FALSE,1,1-3*前提!$B$8)*IF(FALSE,前提!$C$39,前提!$D$39)</f>
        <v/>
      </c>
      <c r="P9" s="24">
        <f>O9*前提!$F$39*前提!$G$25/前提!$B$4</f>
        <v/>
      </c>
      <c r="Q9" s="24">
        <f>月別目標!$R$9*IF(FALSE,前提!$G$39,前提!$H$39)</f>
        <v/>
      </c>
      <c r="R9" s="25">
        <f>P9+Q9</f>
        <v/>
      </c>
      <c r="S9" s="24">
        <f>(前提!$E$26-前提!$F$26)*IF(FALSE,1,1-3*前提!$B$8)*IF(FALSE,前提!$C$39,前提!$D$39)</f>
        <v/>
      </c>
      <c r="T9" s="24">
        <f>S9*前提!$F$39*前提!$G$26/前提!$B$4</f>
        <v/>
      </c>
      <c r="U9" s="24">
        <f>月別目標!$R$10*IF(FALSE,前提!$G$39,前提!$H$39)</f>
        <v/>
      </c>
      <c r="V9" s="25">
        <f>T9+U9</f>
        <v/>
      </c>
      <c r="W9" s="24">
        <f>(前提!$E$27-前提!$F$27)*IF(FALSE,1,1-3*前提!$B$8)*IF(FALSE,前提!$C$39,前提!$D$39)</f>
        <v/>
      </c>
      <c r="X9" s="24">
        <f>W9*前提!$F$39*前提!$G$27/前提!$B$4</f>
        <v/>
      </c>
      <c r="Y9" s="24">
        <f>月別目標!$R$11*IF(FALSE,前提!$G$39,前提!$H$39)</f>
        <v/>
      </c>
      <c r="Z9" s="25">
        <f>X9+Y9</f>
        <v/>
      </c>
      <c r="AA9" s="24">
        <f>(前提!$E$28-前提!$F$28)*IF(FALSE,1,1-3*前提!$B$8)*IF(FALSE,前提!$C$39,前提!$D$39)</f>
        <v/>
      </c>
      <c r="AB9" s="24">
        <f>AA9*前提!$F$39*前提!$G$28/前提!$B$4</f>
        <v/>
      </c>
      <c r="AC9" s="24">
        <f>月別目標!$R$12*IF(FALSE,前提!$G$39,前提!$H$39)</f>
        <v/>
      </c>
      <c r="AD9" s="25">
        <f>AB9+AC9</f>
        <v/>
      </c>
      <c r="AE9" s="24">
        <f>(前提!$E$29-前提!$F$29)*IF(FALSE,1,1-3*前提!$B$8)*IF(FALSE,前提!$C$39,前提!$D$39)</f>
        <v/>
      </c>
      <c r="AF9" s="24">
        <f>AE9*前提!$F$39*前提!$G$29/前提!$B$4</f>
        <v/>
      </c>
      <c r="AG9" s="24">
        <f>月別目標!$R$13*IF(FALSE,前提!$G$39,前提!$H$39)</f>
        <v/>
      </c>
      <c r="AH9" s="25">
        <f>AF9+AG9</f>
        <v/>
      </c>
      <c r="AI9" s="26">
        <f>C9+G9+K9+O9+S9+W9+AA9+AE9</f>
        <v/>
      </c>
      <c r="AJ9" s="26">
        <f>D9+H9+L9+P9+T9+X9+AB9+AF9</f>
        <v/>
      </c>
      <c r="AK9" s="26">
        <f>E9+I9+M9+Q9+U9+Y9+AC9+AG9</f>
        <v/>
      </c>
      <c r="AL9" s="25">
        <f>F9+J9+N9+R9+V9+Z9+AD9+AH9</f>
        <v/>
      </c>
    </row>
    <row r="10">
      <c r="A10" s="23" t="inlineStr">
        <is>
          <t>FULLMARKS STORE</t>
        </is>
      </c>
      <c r="B10" s="23" t="inlineStr">
        <is>
          <t>その他(KANG/PLUS ONE WORKS/POW/SR)</t>
        </is>
      </c>
      <c r="C10" s="24">
        <f>(前提!$E$22-前提!$F$22)*IF(TRUE,1,1-3*前提!$B$8)*IF(TRUE,前提!$C$40,前提!$D$40)</f>
        <v/>
      </c>
      <c r="D10" s="24">
        <f>C10*前提!$F$40*前提!$G$22/前提!$B$4</f>
        <v/>
      </c>
      <c r="E10" s="24">
        <f>月別目標!$R$6*IF(TRUE,前提!$G$40,前提!$H$40)-IF(TRUE,0,月別目標!$R$6*前提!$H$46*(1-前提!$I$46))</f>
        <v/>
      </c>
      <c r="F10" s="25">
        <f>D10+E10</f>
        <v/>
      </c>
      <c r="G10" s="24">
        <f>(前提!$E$23-前提!$F$23)*IF(FALSE,1,1-3*前提!$B$8)*IF(FALSE,前提!$C$40,前提!$D$40)</f>
        <v/>
      </c>
      <c r="H10" s="24">
        <f>G10*前提!$F$40*前提!$G$23/前提!$B$4</f>
        <v/>
      </c>
      <c r="I10" s="24">
        <f>月別目標!$R$7*IF(FALSE,前提!$G$40,前提!$H$40)-IF(FALSE,0,月別目標!$R$7*前提!$H$46*(1-前提!$I$46))</f>
        <v/>
      </c>
      <c r="J10" s="25">
        <f>H10+I10</f>
        <v/>
      </c>
      <c r="K10" s="24">
        <f>(前提!$E$24-前提!$F$24)*IF(FALSE,1,1-3*前提!$B$8)*IF(FALSE,前提!$C$40,前提!$D$40)</f>
        <v/>
      </c>
      <c r="L10" s="24">
        <f>K10*前提!$F$40*前提!$G$24/前提!$B$4</f>
        <v/>
      </c>
      <c r="M10" s="24">
        <f>月別目標!$R$8*IF(FALSE,前提!$G$40,前提!$H$40)-IF(FALSE,0,月別目標!$R$8*前提!$H$46*(1-前提!$I$46))</f>
        <v/>
      </c>
      <c r="N10" s="25">
        <f>L10+M10</f>
        <v/>
      </c>
      <c r="O10" s="24">
        <f>(前提!$E$25-前提!$F$25)*IF(FALSE,1,1-3*前提!$B$8)*IF(FALSE,前提!$C$40,前提!$D$40)</f>
        <v/>
      </c>
      <c r="P10" s="24">
        <f>O10*前提!$F$40*前提!$G$25/前提!$B$4</f>
        <v/>
      </c>
      <c r="Q10" s="24">
        <f>月別目標!$R$9*IF(FALSE,前提!$G$40,前提!$H$40)-IF(FALSE,0,月別目標!$R$9*前提!$H$46*(1-前提!$I$46))</f>
        <v/>
      </c>
      <c r="R10" s="25">
        <f>P10+Q10</f>
        <v/>
      </c>
      <c r="S10" s="24">
        <f>(前提!$E$26-前提!$F$26)*IF(FALSE,1,1-3*前提!$B$8)*IF(FALSE,前提!$C$40,前提!$D$40)</f>
        <v/>
      </c>
      <c r="T10" s="24">
        <f>S10*前提!$F$40*前提!$G$26/前提!$B$4</f>
        <v/>
      </c>
      <c r="U10" s="24">
        <f>月別目標!$R$10*IF(FALSE,前提!$G$40,前提!$H$40)-IF(FALSE,0,月別目標!$R$10*前提!$H$46*(1-前提!$I$46))</f>
        <v/>
      </c>
      <c r="V10" s="25">
        <f>T10+U10</f>
        <v/>
      </c>
      <c r="W10" s="24">
        <f>(前提!$E$27-前提!$F$27)*IF(FALSE,1,1-3*前提!$B$8)*IF(FALSE,前提!$C$40,前提!$D$40)</f>
        <v/>
      </c>
      <c r="X10" s="24">
        <f>W10*前提!$F$40*前提!$G$27/前提!$B$4</f>
        <v/>
      </c>
      <c r="Y10" s="24">
        <f>月別目標!$R$11*IF(FALSE,前提!$G$40,前提!$H$40)-IF(FALSE,0,月別目標!$R$11*前提!$H$46*(1-前提!$I$46))</f>
        <v/>
      </c>
      <c r="Z10" s="25">
        <f>X10+Y10</f>
        <v/>
      </c>
      <c r="AA10" s="24">
        <f>(前提!$E$28-前提!$F$28)*IF(FALSE,1,1-3*前提!$B$8)*IF(FALSE,前提!$C$40,前提!$D$40)</f>
        <v/>
      </c>
      <c r="AB10" s="24">
        <f>AA10*前提!$F$40*前提!$G$28/前提!$B$4</f>
        <v/>
      </c>
      <c r="AC10" s="24">
        <f>月別目標!$R$12*IF(FALSE,前提!$G$40,前提!$H$40)-IF(FALSE,0,月別目標!$R$12*前提!$H$46*(1-前提!$I$46))</f>
        <v/>
      </c>
      <c r="AD10" s="25">
        <f>AB10+AC10</f>
        <v/>
      </c>
      <c r="AE10" s="24">
        <f>(前提!$E$29-前提!$F$29)*IF(FALSE,1,1-3*前提!$B$8)*IF(FALSE,前提!$C$40,前提!$D$40)</f>
        <v/>
      </c>
      <c r="AF10" s="24">
        <f>AE10*前提!$F$40*前提!$G$29/前提!$B$4</f>
        <v/>
      </c>
      <c r="AG10" s="24">
        <f>月別目標!$R$13*IF(FALSE,前提!$G$40,前提!$H$40)-IF(FALSE,0,月別目標!$R$13*前提!$H$46*(1-前提!$I$46))</f>
        <v/>
      </c>
      <c r="AH10" s="25">
        <f>AF10+AG10</f>
        <v/>
      </c>
      <c r="AI10" s="26">
        <f>C10+G10+K10+O10+S10+W10+AA10+AE10</f>
        <v/>
      </c>
      <c r="AJ10" s="26">
        <f>D10+H10+L10+P10+T10+X10+AB10+AF10</f>
        <v/>
      </c>
      <c r="AK10" s="26">
        <f>E10+I10+M10+Q10+U10+Y10+AC10+AG10</f>
        <v/>
      </c>
      <c r="AL10" s="25">
        <f>F10+J10+N10+R10+V10+Z10+AD10+AH10</f>
        <v/>
      </c>
    </row>
    <row r="11">
      <c r="A11" s="23" t="inlineStr">
        <is>
          <t>FULLMARKS STORE</t>
        </is>
      </c>
      <c r="B11" s="23" t="inlineStr">
        <is>
          <t>共通: 店舗指名検索</t>
        </is>
      </c>
      <c r="C11" s="24">
        <f>(前提!$E$22-前提!$F$22)*IF(TRUE,1,1-3*前提!$B$8)*IF(TRUE,前提!$C$41,前提!$D$41)</f>
        <v/>
      </c>
      <c r="D11" s="24">
        <f>C11*前提!$F$41*前提!$G$22/前提!$B$4</f>
        <v/>
      </c>
      <c r="E11" s="24">
        <f>月別目標!$R$6*IF(TRUE,前提!$G$41,前提!$H$41)</f>
        <v/>
      </c>
      <c r="F11" s="25">
        <f>D11+E11</f>
        <v/>
      </c>
      <c r="G11" s="24">
        <f>(前提!$E$23-前提!$F$23)*IF(FALSE,1,1-3*前提!$B$8)*IF(FALSE,前提!$C$41,前提!$D$41)</f>
        <v/>
      </c>
      <c r="H11" s="24">
        <f>G11*前提!$F$41*前提!$G$23/前提!$B$4</f>
        <v/>
      </c>
      <c r="I11" s="24">
        <f>月別目標!$R$7*IF(FALSE,前提!$G$41,前提!$H$41)</f>
        <v/>
      </c>
      <c r="J11" s="25">
        <f>H11+I11</f>
        <v/>
      </c>
      <c r="K11" s="24">
        <f>(前提!$E$24-前提!$F$24)*IF(FALSE,1,1-3*前提!$B$8)*IF(FALSE,前提!$C$41,前提!$D$41)</f>
        <v/>
      </c>
      <c r="L11" s="24">
        <f>K11*前提!$F$41*前提!$G$24/前提!$B$4</f>
        <v/>
      </c>
      <c r="M11" s="24">
        <f>月別目標!$R$8*IF(FALSE,前提!$G$41,前提!$H$41)</f>
        <v/>
      </c>
      <c r="N11" s="25">
        <f>L11+M11</f>
        <v/>
      </c>
      <c r="O11" s="24">
        <f>(前提!$E$25-前提!$F$25)*IF(FALSE,1,1-3*前提!$B$8)*IF(FALSE,前提!$C$41,前提!$D$41)</f>
        <v/>
      </c>
      <c r="P11" s="24">
        <f>O11*前提!$F$41*前提!$G$25/前提!$B$4</f>
        <v/>
      </c>
      <c r="Q11" s="24">
        <f>月別目標!$R$9*IF(FALSE,前提!$G$41,前提!$H$41)</f>
        <v/>
      </c>
      <c r="R11" s="25">
        <f>P11+Q11</f>
        <v/>
      </c>
      <c r="S11" s="24">
        <f>(前提!$E$26-前提!$F$26)*IF(FALSE,1,1-3*前提!$B$8)*IF(FALSE,前提!$C$41,前提!$D$41)</f>
        <v/>
      </c>
      <c r="T11" s="24">
        <f>S11*前提!$F$41*前提!$G$26/前提!$B$4</f>
        <v/>
      </c>
      <c r="U11" s="24">
        <f>月別目標!$R$10*IF(FALSE,前提!$G$41,前提!$H$41)</f>
        <v/>
      </c>
      <c r="V11" s="25">
        <f>T11+U11</f>
        <v/>
      </c>
      <c r="W11" s="24">
        <f>(前提!$E$27-前提!$F$27)*IF(FALSE,1,1-3*前提!$B$8)*IF(FALSE,前提!$C$41,前提!$D$41)</f>
        <v/>
      </c>
      <c r="X11" s="24">
        <f>W11*前提!$F$41*前提!$G$27/前提!$B$4</f>
        <v/>
      </c>
      <c r="Y11" s="24">
        <f>月別目標!$R$11*IF(FALSE,前提!$G$41,前提!$H$41)</f>
        <v/>
      </c>
      <c r="Z11" s="25">
        <f>X11+Y11</f>
        <v/>
      </c>
      <c r="AA11" s="24">
        <f>(前提!$E$28-前提!$F$28)*IF(FALSE,1,1-3*前提!$B$8)*IF(FALSE,前提!$C$41,前提!$D$41)</f>
        <v/>
      </c>
      <c r="AB11" s="24">
        <f>AA11*前提!$F$41*前提!$G$28/前提!$B$4</f>
        <v/>
      </c>
      <c r="AC11" s="24">
        <f>月別目標!$R$12*IF(FALSE,前提!$G$41,前提!$H$41)</f>
        <v/>
      </c>
      <c r="AD11" s="25">
        <f>AB11+AC11</f>
        <v/>
      </c>
      <c r="AE11" s="24">
        <f>(前提!$E$29-前提!$F$29)*IF(FALSE,1,1-3*前提!$B$8)*IF(FALSE,前提!$C$41,前提!$D$41)</f>
        <v/>
      </c>
      <c r="AF11" s="24">
        <f>AE11*前提!$F$41*前提!$G$29/前提!$B$4</f>
        <v/>
      </c>
      <c r="AG11" s="24">
        <f>月別目標!$R$13*IF(FALSE,前提!$G$41,前提!$H$41)</f>
        <v/>
      </c>
      <c r="AH11" s="25">
        <f>AF11+AG11</f>
        <v/>
      </c>
      <c r="AI11" s="26">
        <f>C11+G11+K11+O11+S11+W11+AA11+AE11</f>
        <v/>
      </c>
      <c r="AJ11" s="26">
        <f>D11+H11+L11+P11+T11+X11+AB11+AF11</f>
        <v/>
      </c>
      <c r="AK11" s="26">
        <f>E11+I11+M11+Q11+U11+Y11+AC11+AG11</f>
        <v/>
      </c>
      <c r="AL11" s="25">
        <f>F11+J11+N11+R11+V11+Z11+AD11+AH11</f>
        <v/>
      </c>
    </row>
    <row r="12">
      <c r="A12" s="23" t="inlineStr">
        <is>
          <t>FULLMARKS STORE</t>
        </is>
      </c>
      <c r="B12" s="23" t="inlineStr">
        <is>
          <t>共通: 商品連動(ショッピング/カタログ)</t>
        </is>
      </c>
      <c r="C12" s="24">
        <f>(前提!$E$22-前提!$F$22)*IF(TRUE,1,1-3*前提!$B$8)*IF(TRUE,前提!$C$42,前提!$D$42)</f>
        <v/>
      </c>
      <c r="D12" s="24">
        <f>C12*前提!$F$42*前提!$G$22/前提!$B$4</f>
        <v/>
      </c>
      <c r="E12" s="24">
        <f>月別目標!$R$6*IF(TRUE,前提!$G$42,前提!$H$42)</f>
        <v/>
      </c>
      <c r="F12" s="25">
        <f>D12+E12</f>
        <v/>
      </c>
      <c r="G12" s="24">
        <f>(前提!$E$23-前提!$F$23)*IF(FALSE,1,1-3*前提!$B$8)*IF(FALSE,前提!$C$42,前提!$D$42)</f>
        <v/>
      </c>
      <c r="H12" s="24">
        <f>G12*前提!$F$42*前提!$G$23/前提!$B$4</f>
        <v/>
      </c>
      <c r="I12" s="24">
        <f>月別目標!$R$7*IF(FALSE,前提!$G$42,前提!$H$42)</f>
        <v/>
      </c>
      <c r="J12" s="25">
        <f>H12+I12</f>
        <v/>
      </c>
      <c r="K12" s="24">
        <f>(前提!$E$24-前提!$F$24)*IF(FALSE,1,1-3*前提!$B$8)*IF(FALSE,前提!$C$42,前提!$D$42)</f>
        <v/>
      </c>
      <c r="L12" s="24">
        <f>K12*前提!$F$42*前提!$G$24/前提!$B$4</f>
        <v/>
      </c>
      <c r="M12" s="24">
        <f>月別目標!$R$8*IF(FALSE,前提!$G$42,前提!$H$42)</f>
        <v/>
      </c>
      <c r="N12" s="25">
        <f>L12+M12</f>
        <v/>
      </c>
      <c r="O12" s="24">
        <f>(前提!$E$25-前提!$F$25)*IF(FALSE,1,1-3*前提!$B$8)*IF(FALSE,前提!$C$42,前提!$D$42)</f>
        <v/>
      </c>
      <c r="P12" s="24">
        <f>O12*前提!$F$42*前提!$G$25/前提!$B$4</f>
        <v/>
      </c>
      <c r="Q12" s="24">
        <f>月別目標!$R$9*IF(FALSE,前提!$G$42,前提!$H$42)</f>
        <v/>
      </c>
      <c r="R12" s="25">
        <f>P12+Q12</f>
        <v/>
      </c>
      <c r="S12" s="24">
        <f>(前提!$E$26-前提!$F$26)*IF(FALSE,1,1-3*前提!$B$8)*IF(FALSE,前提!$C$42,前提!$D$42)</f>
        <v/>
      </c>
      <c r="T12" s="24">
        <f>S12*前提!$F$42*前提!$G$26/前提!$B$4</f>
        <v/>
      </c>
      <c r="U12" s="24">
        <f>月別目標!$R$10*IF(FALSE,前提!$G$42,前提!$H$42)</f>
        <v/>
      </c>
      <c r="V12" s="25">
        <f>T12+U12</f>
        <v/>
      </c>
      <c r="W12" s="24">
        <f>(前提!$E$27-前提!$F$27)*IF(FALSE,1,1-3*前提!$B$8)*IF(FALSE,前提!$C$42,前提!$D$42)</f>
        <v/>
      </c>
      <c r="X12" s="24">
        <f>W12*前提!$F$42*前提!$G$27/前提!$B$4</f>
        <v/>
      </c>
      <c r="Y12" s="24">
        <f>月別目標!$R$11*IF(FALSE,前提!$G$42,前提!$H$42)</f>
        <v/>
      </c>
      <c r="Z12" s="25">
        <f>X12+Y12</f>
        <v/>
      </c>
      <c r="AA12" s="24">
        <f>(前提!$E$28-前提!$F$28)*IF(FALSE,1,1-3*前提!$B$8)*IF(FALSE,前提!$C$42,前提!$D$42)</f>
        <v/>
      </c>
      <c r="AB12" s="24">
        <f>AA12*前提!$F$42*前提!$G$28/前提!$B$4</f>
        <v/>
      </c>
      <c r="AC12" s="24">
        <f>月別目標!$R$12*IF(FALSE,前提!$G$42,前提!$H$42)</f>
        <v/>
      </c>
      <c r="AD12" s="25">
        <f>AB12+AC12</f>
        <v/>
      </c>
      <c r="AE12" s="24">
        <f>(前提!$E$29-前提!$F$29)*IF(FALSE,1,1-3*前提!$B$8)*IF(FALSE,前提!$C$42,前提!$D$42)</f>
        <v/>
      </c>
      <c r="AF12" s="24">
        <f>AE12*前提!$F$42*前提!$G$29/前提!$B$4</f>
        <v/>
      </c>
      <c r="AG12" s="24">
        <f>月別目標!$R$13*IF(FALSE,前提!$G$42,前提!$H$42)</f>
        <v/>
      </c>
      <c r="AH12" s="25">
        <f>AF12+AG12</f>
        <v/>
      </c>
      <c r="AI12" s="26">
        <f>C12+G12+K12+O12+S12+W12+AA12+AE12</f>
        <v/>
      </c>
      <c r="AJ12" s="26">
        <f>D12+H12+L12+P12+T12+X12+AB12+AF12</f>
        <v/>
      </c>
      <c r="AK12" s="26">
        <f>E12+I12+M12+Q12+U12+Y12+AC12+AG12</f>
        <v/>
      </c>
      <c r="AL12" s="25">
        <f>F12+J12+N12+R12+V12+Z12+AD12+AH12</f>
        <v/>
      </c>
    </row>
    <row r="13">
      <c r="A13" s="23" t="inlineStr">
        <is>
          <t>FULLMARKS STORE</t>
        </is>
      </c>
      <c r="B13" s="23" t="inlineStr">
        <is>
          <t>共通: イベント予備費(SW/年末/セール)</t>
        </is>
      </c>
      <c r="C13" s="24">
        <f>前提!$F$22</f>
        <v/>
      </c>
      <c r="D13" s="24">
        <f>C13*前提!$F$43*前提!$G$22/前提!$B$4</f>
        <v/>
      </c>
      <c r="E13" s="24">
        <f>月別目標!$R$6*IF(TRUE,前提!$G$43,前提!$H$43)</f>
        <v/>
      </c>
      <c r="F13" s="25">
        <f>D13+E13</f>
        <v/>
      </c>
      <c r="G13" s="24">
        <f>前提!$F$23</f>
        <v/>
      </c>
      <c r="H13" s="24">
        <f>G13*前提!$F$43*前提!$G$23/前提!$B$4</f>
        <v/>
      </c>
      <c r="I13" s="24">
        <f>月別目標!$R$7*IF(FALSE,前提!$G$43,前提!$H$43)</f>
        <v/>
      </c>
      <c r="J13" s="25">
        <f>H13+I13</f>
        <v/>
      </c>
      <c r="K13" s="24">
        <f>前提!$F$24</f>
        <v/>
      </c>
      <c r="L13" s="24">
        <f>K13*前提!$F$43*前提!$G$24/前提!$B$4</f>
        <v/>
      </c>
      <c r="M13" s="24">
        <f>月別目標!$R$8*IF(FALSE,前提!$G$43,前提!$H$43)</f>
        <v/>
      </c>
      <c r="N13" s="25">
        <f>L13+M13</f>
        <v/>
      </c>
      <c r="O13" s="24">
        <f>前提!$F$25</f>
        <v/>
      </c>
      <c r="P13" s="24">
        <f>O13*前提!$F$43*前提!$G$25/前提!$B$4</f>
        <v/>
      </c>
      <c r="Q13" s="24">
        <f>月別目標!$R$9*IF(FALSE,前提!$G$43,前提!$H$43)</f>
        <v/>
      </c>
      <c r="R13" s="25">
        <f>P13+Q13</f>
        <v/>
      </c>
      <c r="S13" s="24">
        <f>前提!$F$26</f>
        <v/>
      </c>
      <c r="T13" s="24">
        <f>S13*前提!$F$43*前提!$G$26/前提!$B$4</f>
        <v/>
      </c>
      <c r="U13" s="24">
        <f>月別目標!$R$10*IF(FALSE,前提!$G$43,前提!$H$43)</f>
        <v/>
      </c>
      <c r="V13" s="25">
        <f>T13+U13</f>
        <v/>
      </c>
      <c r="W13" s="24">
        <f>前提!$F$27</f>
        <v/>
      </c>
      <c r="X13" s="24">
        <f>W13*前提!$F$43*前提!$G$27/前提!$B$4</f>
        <v/>
      </c>
      <c r="Y13" s="24">
        <f>月別目標!$R$11*IF(FALSE,前提!$G$43,前提!$H$43)</f>
        <v/>
      </c>
      <c r="Z13" s="25">
        <f>X13+Y13</f>
        <v/>
      </c>
      <c r="AA13" s="24">
        <f>前提!$F$28</f>
        <v/>
      </c>
      <c r="AB13" s="24">
        <f>AA13*前提!$F$43*前提!$G$28/前提!$B$4</f>
        <v/>
      </c>
      <c r="AC13" s="24">
        <f>月別目標!$R$12*IF(FALSE,前提!$G$43,前提!$H$43)</f>
        <v/>
      </c>
      <c r="AD13" s="25">
        <f>AB13+AC13</f>
        <v/>
      </c>
      <c r="AE13" s="24">
        <f>前提!$F$29</f>
        <v/>
      </c>
      <c r="AF13" s="24">
        <f>AE13*前提!$F$43*前提!$G$29/前提!$B$4</f>
        <v/>
      </c>
      <c r="AG13" s="24">
        <f>月別目標!$R$13*IF(FALSE,前提!$G$43,前提!$H$43)</f>
        <v/>
      </c>
      <c r="AH13" s="25">
        <f>AF13+AG13</f>
        <v/>
      </c>
      <c r="AI13" s="26">
        <f>C13+G13+K13+O13+S13+W13+AA13+AE13</f>
        <v/>
      </c>
      <c r="AJ13" s="26">
        <f>D13+H13+L13+P13+T13+X13+AB13+AF13</f>
        <v/>
      </c>
      <c r="AK13" s="26">
        <f>E13+I13+M13+Q13+U13+Y13+AC13+AG13</f>
        <v/>
      </c>
      <c r="AL13" s="25">
        <f>F13+J13+N13+R13+V13+Z13+AD13+AH13</f>
        <v/>
      </c>
    </row>
    <row r="14">
      <c r="A14" s="23" t="inlineStr">
        <is>
          <t>HOUDINI STORE</t>
        </is>
      </c>
      <c r="B14" s="23" t="inlineStr">
        <is>
          <t>HOUDINI</t>
        </is>
      </c>
      <c r="C14" s="24">
        <f>IF(TRUE,0,(前提!$E$22-前提!$F$22)*前提!$B$8)</f>
        <v/>
      </c>
      <c r="D14" s="24">
        <f>C14*前提!$F$44*前提!$G$22/前提!$B$4</f>
        <v/>
      </c>
      <c r="E14" s="24">
        <f>IF(TRUE,0,月別目標!$R$6*前提!$H$44)</f>
        <v/>
      </c>
      <c r="F14" s="25">
        <f>D14+E14</f>
        <v/>
      </c>
      <c r="G14" s="24">
        <f>IF(FALSE,0,(前提!$E$23-前提!$F$23)*前提!$B$8)</f>
        <v/>
      </c>
      <c r="H14" s="24">
        <f>G14*前提!$F$44*前提!$G$23/前提!$B$4</f>
        <v/>
      </c>
      <c r="I14" s="24">
        <f>IF(FALSE,0,月別目標!$R$7*前提!$H$44)</f>
        <v/>
      </c>
      <c r="J14" s="25">
        <f>H14+I14</f>
        <v/>
      </c>
      <c r="K14" s="24">
        <f>IF(FALSE,0,(前提!$E$24-前提!$F$24)*前提!$B$8)</f>
        <v/>
      </c>
      <c r="L14" s="24">
        <f>K14*前提!$F$44*前提!$G$24/前提!$B$4</f>
        <v/>
      </c>
      <c r="M14" s="24">
        <f>IF(FALSE,0,月別目標!$R$8*前提!$H$44)</f>
        <v/>
      </c>
      <c r="N14" s="25">
        <f>L14+M14</f>
        <v/>
      </c>
      <c r="O14" s="24">
        <f>IF(FALSE,0,(前提!$E$25-前提!$F$25)*前提!$B$8)</f>
        <v/>
      </c>
      <c r="P14" s="24">
        <f>O14*前提!$F$44*前提!$G$25/前提!$B$4</f>
        <v/>
      </c>
      <c r="Q14" s="24">
        <f>IF(FALSE,0,月別目標!$R$9*前提!$H$44)</f>
        <v/>
      </c>
      <c r="R14" s="25">
        <f>P14+Q14</f>
        <v/>
      </c>
      <c r="S14" s="24">
        <f>IF(FALSE,0,(前提!$E$26-前提!$F$26)*前提!$B$8)</f>
        <v/>
      </c>
      <c r="T14" s="24">
        <f>S14*前提!$F$44*前提!$G$26/前提!$B$4</f>
        <v/>
      </c>
      <c r="U14" s="24">
        <f>IF(FALSE,0,月別目標!$R$10*前提!$H$44)</f>
        <v/>
      </c>
      <c r="V14" s="25">
        <f>T14+U14</f>
        <v/>
      </c>
      <c r="W14" s="24">
        <f>IF(FALSE,0,(前提!$E$27-前提!$F$27)*前提!$B$8)</f>
        <v/>
      </c>
      <c r="X14" s="24">
        <f>W14*前提!$F$44*前提!$G$27/前提!$B$4</f>
        <v/>
      </c>
      <c r="Y14" s="24">
        <f>IF(FALSE,0,月別目標!$R$11*前提!$H$44)</f>
        <v/>
      </c>
      <c r="Z14" s="25">
        <f>X14+Y14</f>
        <v/>
      </c>
      <c r="AA14" s="24">
        <f>IF(FALSE,0,(前提!$E$28-前提!$F$28)*前提!$B$8)</f>
        <v/>
      </c>
      <c r="AB14" s="24">
        <f>AA14*前提!$F$44*前提!$G$28/前提!$B$4</f>
        <v/>
      </c>
      <c r="AC14" s="24">
        <f>IF(FALSE,0,月別目標!$R$12*前提!$H$44)</f>
        <v/>
      </c>
      <c r="AD14" s="25">
        <f>AB14+AC14</f>
        <v/>
      </c>
      <c r="AE14" s="24">
        <f>IF(FALSE,0,(前提!$E$29-前提!$F$29)*前提!$B$8)</f>
        <v/>
      </c>
      <c r="AF14" s="24">
        <f>AE14*前提!$F$44*前提!$G$29/前提!$B$4</f>
        <v/>
      </c>
      <c r="AG14" s="24">
        <f>IF(FALSE,0,月別目標!$R$13*前提!$H$44)</f>
        <v/>
      </c>
      <c r="AH14" s="25">
        <f>AF14+AG14</f>
        <v/>
      </c>
      <c r="AI14" s="26">
        <f>C14+G14+K14+O14+S14+W14+AA14+AE14</f>
        <v/>
      </c>
      <c r="AJ14" s="26">
        <f>D14+H14+L14+P14+T14+X14+AB14+AF14</f>
        <v/>
      </c>
      <c r="AK14" s="26">
        <f>E14+I14+M14+Q14+U14+Y14+AC14+AG14</f>
        <v/>
      </c>
      <c r="AL14" s="25">
        <f>F14+J14+N14+R14+V14+Z14+AD14+AH14</f>
        <v/>
      </c>
    </row>
    <row r="15">
      <c r="A15" s="23" t="inlineStr">
        <is>
          <t>NORRONA STORE</t>
        </is>
      </c>
      <c r="B15" s="23" t="inlineStr">
        <is>
          <t>NORRØNA</t>
        </is>
      </c>
      <c r="C15" s="24">
        <f>IF(TRUE,0,(前提!$E$22-前提!$F$22)*前提!$B$8)</f>
        <v/>
      </c>
      <c r="D15" s="24">
        <f>C15*前提!$F$45*前提!$G$22/前提!$B$4</f>
        <v/>
      </c>
      <c r="E15" s="24">
        <f>IF(TRUE,0,月別目標!$R$6*前提!$H$45)</f>
        <v/>
      </c>
      <c r="F15" s="25">
        <f>D15+E15</f>
        <v/>
      </c>
      <c r="G15" s="24">
        <f>IF(FALSE,0,(前提!$E$23-前提!$F$23)*前提!$B$8)</f>
        <v/>
      </c>
      <c r="H15" s="24">
        <f>G15*前提!$F$45*前提!$G$23/前提!$B$4</f>
        <v/>
      </c>
      <c r="I15" s="24">
        <f>IF(FALSE,0,月別目標!$R$7*前提!$H$45)</f>
        <v/>
      </c>
      <c r="J15" s="25">
        <f>H15+I15</f>
        <v/>
      </c>
      <c r="K15" s="24">
        <f>IF(FALSE,0,(前提!$E$24-前提!$F$24)*前提!$B$8)</f>
        <v/>
      </c>
      <c r="L15" s="24">
        <f>K15*前提!$F$45*前提!$G$24/前提!$B$4</f>
        <v/>
      </c>
      <c r="M15" s="24">
        <f>IF(FALSE,0,月別目標!$R$8*前提!$H$45)</f>
        <v/>
      </c>
      <c r="N15" s="25">
        <f>L15+M15</f>
        <v/>
      </c>
      <c r="O15" s="24">
        <f>IF(FALSE,0,(前提!$E$25-前提!$F$25)*前提!$B$8)</f>
        <v/>
      </c>
      <c r="P15" s="24">
        <f>O15*前提!$F$45*前提!$G$25/前提!$B$4</f>
        <v/>
      </c>
      <c r="Q15" s="24">
        <f>IF(FALSE,0,月別目標!$R$9*前提!$H$45)</f>
        <v/>
      </c>
      <c r="R15" s="25">
        <f>P15+Q15</f>
        <v/>
      </c>
      <c r="S15" s="24">
        <f>IF(FALSE,0,(前提!$E$26-前提!$F$26)*前提!$B$8)</f>
        <v/>
      </c>
      <c r="T15" s="24">
        <f>S15*前提!$F$45*前提!$G$26/前提!$B$4</f>
        <v/>
      </c>
      <c r="U15" s="24">
        <f>IF(FALSE,0,月別目標!$R$10*前提!$H$45)</f>
        <v/>
      </c>
      <c r="V15" s="25">
        <f>T15+U15</f>
        <v/>
      </c>
      <c r="W15" s="24">
        <f>IF(FALSE,0,(前提!$E$27-前提!$F$27)*前提!$B$8)</f>
        <v/>
      </c>
      <c r="X15" s="24">
        <f>W15*前提!$F$45*前提!$G$27/前提!$B$4</f>
        <v/>
      </c>
      <c r="Y15" s="24">
        <f>IF(FALSE,0,月別目標!$R$11*前提!$H$45)</f>
        <v/>
      </c>
      <c r="Z15" s="25">
        <f>X15+Y15</f>
        <v/>
      </c>
      <c r="AA15" s="24">
        <f>IF(FALSE,0,(前提!$E$28-前提!$F$28)*前提!$B$8)</f>
        <v/>
      </c>
      <c r="AB15" s="24">
        <f>AA15*前提!$F$45*前提!$G$28/前提!$B$4</f>
        <v/>
      </c>
      <c r="AC15" s="24">
        <f>IF(FALSE,0,月別目標!$R$12*前提!$H$45)</f>
        <v/>
      </c>
      <c r="AD15" s="25">
        <f>AB15+AC15</f>
        <v/>
      </c>
      <c r="AE15" s="24">
        <f>IF(FALSE,0,(前提!$E$29-前提!$F$29)*前提!$B$8)</f>
        <v/>
      </c>
      <c r="AF15" s="24">
        <f>AE15*前提!$F$45*前提!$G$29/前提!$B$4</f>
        <v/>
      </c>
      <c r="AG15" s="24">
        <f>IF(FALSE,0,月別目標!$R$13*前提!$H$45)</f>
        <v/>
      </c>
      <c r="AH15" s="25">
        <f>AF15+AG15</f>
        <v/>
      </c>
      <c r="AI15" s="26">
        <f>C15+G15+K15+O15+S15+W15+AA15+AE15</f>
        <v/>
      </c>
      <c r="AJ15" s="26">
        <f>D15+H15+L15+P15+T15+X15+AB15+AF15</f>
        <v/>
      </c>
      <c r="AK15" s="26">
        <f>E15+I15+M15+Q15+U15+Y15+AC15+AG15</f>
        <v/>
      </c>
      <c r="AL15" s="25">
        <f>F15+J15+N15+R15+V15+Z15+AD15+AH15</f>
        <v/>
      </c>
    </row>
    <row r="16">
      <c r="A16" s="23" t="inlineStr">
        <is>
          <t>PU STORE</t>
        </is>
      </c>
      <c r="B16" s="23" t="inlineStr">
        <is>
          <t>PLUS ONE WORKS</t>
        </is>
      </c>
      <c r="C16" s="24">
        <f>IF(TRUE,0,(前提!$E$22-前提!$F$22)*前提!$B$8)</f>
        <v/>
      </c>
      <c r="D16" s="24">
        <f>C16*前提!$F$46*前提!$G$22/前提!$B$4</f>
        <v/>
      </c>
      <c r="E16" s="24">
        <f>IF(TRUE,0,月別目標!$R$6*前提!$H$46)</f>
        <v/>
      </c>
      <c r="F16" s="25">
        <f>D16+E16</f>
        <v/>
      </c>
      <c r="G16" s="24">
        <f>IF(FALSE,0,(前提!$E$23-前提!$F$23)*前提!$B$8)</f>
        <v/>
      </c>
      <c r="H16" s="24">
        <f>G16*前提!$F$46*前提!$G$23/前提!$B$4</f>
        <v/>
      </c>
      <c r="I16" s="24">
        <f>IF(FALSE,0,月別目標!$R$7*前提!$H$46)</f>
        <v/>
      </c>
      <c r="J16" s="25">
        <f>H16+I16</f>
        <v/>
      </c>
      <c r="K16" s="24">
        <f>IF(FALSE,0,(前提!$E$24-前提!$F$24)*前提!$B$8)</f>
        <v/>
      </c>
      <c r="L16" s="24">
        <f>K16*前提!$F$46*前提!$G$24/前提!$B$4</f>
        <v/>
      </c>
      <c r="M16" s="24">
        <f>IF(FALSE,0,月別目標!$R$8*前提!$H$46)</f>
        <v/>
      </c>
      <c r="N16" s="25">
        <f>L16+M16</f>
        <v/>
      </c>
      <c r="O16" s="24">
        <f>IF(FALSE,0,(前提!$E$25-前提!$F$25)*前提!$B$8)</f>
        <v/>
      </c>
      <c r="P16" s="24">
        <f>O16*前提!$F$46*前提!$G$25/前提!$B$4</f>
        <v/>
      </c>
      <c r="Q16" s="24">
        <f>IF(FALSE,0,月別目標!$R$9*前提!$H$46)</f>
        <v/>
      </c>
      <c r="R16" s="25">
        <f>P16+Q16</f>
        <v/>
      </c>
      <c r="S16" s="24">
        <f>IF(FALSE,0,(前提!$E$26-前提!$F$26)*前提!$B$8)</f>
        <v/>
      </c>
      <c r="T16" s="24">
        <f>S16*前提!$F$46*前提!$G$26/前提!$B$4</f>
        <v/>
      </c>
      <c r="U16" s="24">
        <f>IF(FALSE,0,月別目標!$R$10*前提!$H$46)</f>
        <v/>
      </c>
      <c r="V16" s="25">
        <f>T16+U16</f>
        <v/>
      </c>
      <c r="W16" s="24">
        <f>IF(FALSE,0,(前提!$E$27-前提!$F$27)*前提!$B$8)</f>
        <v/>
      </c>
      <c r="X16" s="24">
        <f>W16*前提!$F$46*前提!$G$27/前提!$B$4</f>
        <v/>
      </c>
      <c r="Y16" s="24">
        <f>IF(FALSE,0,月別目標!$R$11*前提!$H$46)</f>
        <v/>
      </c>
      <c r="Z16" s="25">
        <f>X16+Y16</f>
        <v/>
      </c>
      <c r="AA16" s="24">
        <f>IF(FALSE,0,(前提!$E$28-前提!$F$28)*前提!$B$8)</f>
        <v/>
      </c>
      <c r="AB16" s="24">
        <f>AA16*前提!$F$46*前提!$G$28/前提!$B$4</f>
        <v/>
      </c>
      <c r="AC16" s="24">
        <f>IF(FALSE,0,月別目標!$R$12*前提!$H$46)</f>
        <v/>
      </c>
      <c r="AD16" s="25">
        <f>AB16+AC16</f>
        <v/>
      </c>
      <c r="AE16" s="24">
        <f>IF(FALSE,0,(前提!$E$29-前提!$F$29)*前提!$B$8)</f>
        <v/>
      </c>
      <c r="AF16" s="24">
        <f>AE16*前提!$F$46*前提!$G$29/前提!$B$4</f>
        <v/>
      </c>
      <c r="AG16" s="24">
        <f>IF(FALSE,0,月別目標!$R$13*前提!$H$46)</f>
        <v/>
      </c>
      <c r="AH16" s="25">
        <f>AF16+AG16</f>
        <v/>
      </c>
      <c r="AI16" s="26">
        <f>C16+G16+K16+O16+S16+W16+AA16+AE16</f>
        <v/>
      </c>
      <c r="AJ16" s="26">
        <f>D16+H16+L16+P16+T16+X16+AB16+AF16</f>
        <v/>
      </c>
      <c r="AK16" s="26">
        <f>E16+I16+M16+Q16+U16+Y16+AC16+AG16</f>
        <v/>
      </c>
      <c r="AL16" s="25">
        <f>F16+J16+N16+R16+V16+Z16+AD16+AH16</f>
        <v/>
      </c>
    </row>
    <row r="17">
      <c r="A17" s="29" t="inlineStr">
        <is>
          <t>4ストア合計</t>
        </is>
      </c>
      <c r="B17" s="22" t="n"/>
      <c r="C17" s="30">
        <f>SUM(C5:C16)</f>
        <v/>
      </c>
      <c r="D17" s="30">
        <f>SUM(D5:D16)</f>
        <v/>
      </c>
      <c r="E17" s="30">
        <f>SUM(E5:E16)</f>
        <v/>
      </c>
      <c r="F17" s="30">
        <f>SUM(F5:F16)</f>
        <v/>
      </c>
      <c r="G17" s="30">
        <f>SUM(G5:G16)</f>
        <v/>
      </c>
      <c r="H17" s="30">
        <f>SUM(H5:H16)</f>
        <v/>
      </c>
      <c r="I17" s="30">
        <f>SUM(I5:I16)</f>
        <v/>
      </c>
      <c r="J17" s="30">
        <f>SUM(J5:J16)</f>
        <v/>
      </c>
      <c r="K17" s="30">
        <f>SUM(K5:K16)</f>
        <v/>
      </c>
      <c r="L17" s="30">
        <f>SUM(L5:L16)</f>
        <v/>
      </c>
      <c r="M17" s="30">
        <f>SUM(M5:M16)</f>
        <v/>
      </c>
      <c r="N17" s="30">
        <f>SUM(N5:N16)</f>
        <v/>
      </c>
      <c r="O17" s="30">
        <f>SUM(O5:O16)</f>
        <v/>
      </c>
      <c r="P17" s="30">
        <f>SUM(P5:P16)</f>
        <v/>
      </c>
      <c r="Q17" s="30">
        <f>SUM(Q5:Q16)</f>
        <v/>
      </c>
      <c r="R17" s="30">
        <f>SUM(R5:R16)</f>
        <v/>
      </c>
      <c r="S17" s="30">
        <f>SUM(S5:S16)</f>
        <v/>
      </c>
      <c r="T17" s="30">
        <f>SUM(T5:T16)</f>
        <v/>
      </c>
      <c r="U17" s="30">
        <f>SUM(U5:U16)</f>
        <v/>
      </c>
      <c r="V17" s="30">
        <f>SUM(V5:V16)</f>
        <v/>
      </c>
      <c r="W17" s="30">
        <f>SUM(W5:W16)</f>
        <v/>
      </c>
      <c r="X17" s="30">
        <f>SUM(X5:X16)</f>
        <v/>
      </c>
      <c r="Y17" s="30">
        <f>SUM(Y5:Y16)</f>
        <v/>
      </c>
      <c r="Z17" s="30">
        <f>SUM(Z5:Z16)</f>
        <v/>
      </c>
      <c r="AA17" s="30">
        <f>SUM(AA5:AA16)</f>
        <v/>
      </c>
      <c r="AB17" s="30">
        <f>SUM(AB5:AB16)</f>
        <v/>
      </c>
      <c r="AC17" s="30">
        <f>SUM(AC5:AC16)</f>
        <v/>
      </c>
      <c r="AD17" s="30">
        <f>SUM(AD5:AD16)</f>
        <v/>
      </c>
      <c r="AE17" s="30">
        <f>SUM(AE5:AE16)</f>
        <v/>
      </c>
      <c r="AF17" s="30">
        <f>SUM(AF5:AF16)</f>
        <v/>
      </c>
      <c r="AG17" s="30">
        <f>SUM(AG5:AG16)</f>
        <v/>
      </c>
      <c r="AH17" s="30">
        <f>SUM(AH5:AH16)</f>
        <v/>
      </c>
      <c r="AI17" s="30">
        <f>SUM(AI5:AI16)</f>
        <v/>
      </c>
      <c r="AJ17" s="30">
        <f>SUM(AJ5:AJ16)</f>
        <v/>
      </c>
      <c r="AK17" s="30">
        <f>SUM(AK5:AK16)</f>
        <v/>
      </c>
      <c r="AL17" s="30">
        <f>SUM(AL5:AL16)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</row>
    <row r="19">
      <c r="A19" s="29" t="inlineStr">
        <is>
          <t>ストア別 小計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</row>
    <row r="20">
      <c r="A20" s="23" t="inlineStr">
        <is>
          <t>FULLMARKS STORE</t>
        </is>
      </c>
      <c r="B20" s="22" t="n"/>
      <c r="C20" s="26">
        <f>SUMIF($A$5:$A$16,$A20,C$5:C$16)</f>
        <v/>
      </c>
      <c r="D20" s="26">
        <f>SUMIF($A$5:$A$16,$A20,D$5:D$16)</f>
        <v/>
      </c>
      <c r="E20" s="26">
        <f>SUMIF($A$5:$A$16,$A20,E$5:E$16)</f>
        <v/>
      </c>
      <c r="F20" s="26">
        <f>SUMIF($A$5:$A$16,$A20,F$5:F$16)</f>
        <v/>
      </c>
      <c r="G20" s="26">
        <f>SUMIF($A$5:$A$16,$A20,G$5:G$16)</f>
        <v/>
      </c>
      <c r="H20" s="26">
        <f>SUMIF($A$5:$A$16,$A20,H$5:H$16)</f>
        <v/>
      </c>
      <c r="I20" s="26">
        <f>SUMIF($A$5:$A$16,$A20,I$5:I$16)</f>
        <v/>
      </c>
      <c r="J20" s="26">
        <f>SUMIF($A$5:$A$16,$A20,J$5:J$16)</f>
        <v/>
      </c>
      <c r="K20" s="26">
        <f>SUMIF($A$5:$A$16,$A20,K$5:K$16)</f>
        <v/>
      </c>
      <c r="L20" s="26">
        <f>SUMIF($A$5:$A$16,$A20,L$5:L$16)</f>
        <v/>
      </c>
      <c r="M20" s="26">
        <f>SUMIF($A$5:$A$16,$A20,M$5:M$16)</f>
        <v/>
      </c>
      <c r="N20" s="26">
        <f>SUMIF($A$5:$A$16,$A20,N$5:N$16)</f>
        <v/>
      </c>
      <c r="O20" s="26">
        <f>SUMIF($A$5:$A$16,$A20,O$5:O$16)</f>
        <v/>
      </c>
      <c r="P20" s="26">
        <f>SUMIF($A$5:$A$16,$A20,P$5:P$16)</f>
        <v/>
      </c>
      <c r="Q20" s="26">
        <f>SUMIF($A$5:$A$16,$A20,Q$5:Q$16)</f>
        <v/>
      </c>
      <c r="R20" s="26">
        <f>SUMIF($A$5:$A$16,$A20,R$5:R$16)</f>
        <v/>
      </c>
      <c r="S20" s="26">
        <f>SUMIF($A$5:$A$16,$A20,S$5:S$16)</f>
        <v/>
      </c>
      <c r="T20" s="26">
        <f>SUMIF($A$5:$A$16,$A20,T$5:T$16)</f>
        <v/>
      </c>
      <c r="U20" s="26">
        <f>SUMIF($A$5:$A$16,$A20,U$5:U$16)</f>
        <v/>
      </c>
      <c r="V20" s="26">
        <f>SUMIF($A$5:$A$16,$A20,V$5:V$16)</f>
        <v/>
      </c>
      <c r="W20" s="26">
        <f>SUMIF($A$5:$A$16,$A20,W$5:W$16)</f>
        <v/>
      </c>
      <c r="X20" s="26">
        <f>SUMIF($A$5:$A$16,$A20,X$5:X$16)</f>
        <v/>
      </c>
      <c r="Y20" s="26">
        <f>SUMIF($A$5:$A$16,$A20,Y$5:Y$16)</f>
        <v/>
      </c>
      <c r="Z20" s="26">
        <f>SUMIF($A$5:$A$16,$A20,Z$5:Z$16)</f>
        <v/>
      </c>
      <c r="AA20" s="26">
        <f>SUMIF($A$5:$A$16,$A20,AA$5:AA$16)</f>
        <v/>
      </c>
      <c r="AB20" s="26">
        <f>SUMIF($A$5:$A$16,$A20,AB$5:AB$16)</f>
        <v/>
      </c>
      <c r="AC20" s="26">
        <f>SUMIF($A$5:$A$16,$A20,AC$5:AC$16)</f>
        <v/>
      </c>
      <c r="AD20" s="26">
        <f>SUMIF($A$5:$A$16,$A20,AD$5:AD$16)</f>
        <v/>
      </c>
      <c r="AE20" s="26">
        <f>SUMIF($A$5:$A$16,$A20,AE$5:AE$16)</f>
        <v/>
      </c>
      <c r="AF20" s="26">
        <f>SUMIF($A$5:$A$16,$A20,AF$5:AF$16)</f>
        <v/>
      </c>
      <c r="AG20" s="26">
        <f>SUMIF($A$5:$A$16,$A20,AG$5:AG$16)</f>
        <v/>
      </c>
      <c r="AH20" s="26">
        <f>SUMIF($A$5:$A$16,$A20,AH$5:AH$16)</f>
        <v/>
      </c>
      <c r="AI20" s="26">
        <f>SUMIF($A$5:$A$16,$A20,AI$5:AI$16)</f>
        <v/>
      </c>
      <c r="AJ20" s="26">
        <f>SUMIF($A$5:$A$16,$A20,AJ$5:AJ$16)</f>
        <v/>
      </c>
      <c r="AK20" s="26">
        <f>SUMIF($A$5:$A$16,$A20,AK$5:AK$16)</f>
        <v/>
      </c>
      <c r="AL20" s="26">
        <f>SUMIF($A$5:$A$16,$A20,AL$5:AL$16)</f>
        <v/>
      </c>
    </row>
    <row r="21">
      <c r="A21" s="23" t="inlineStr">
        <is>
          <t>HOUDINI STORE</t>
        </is>
      </c>
      <c r="B21" s="22" t="n"/>
      <c r="C21" s="26">
        <f>SUMIF($A$5:$A$16,$A21,C$5:C$16)</f>
        <v/>
      </c>
      <c r="D21" s="26">
        <f>SUMIF($A$5:$A$16,$A21,D$5:D$16)</f>
        <v/>
      </c>
      <c r="E21" s="26">
        <f>SUMIF($A$5:$A$16,$A21,E$5:E$16)</f>
        <v/>
      </c>
      <c r="F21" s="26">
        <f>SUMIF($A$5:$A$16,$A21,F$5:F$16)</f>
        <v/>
      </c>
      <c r="G21" s="26">
        <f>SUMIF($A$5:$A$16,$A21,G$5:G$16)</f>
        <v/>
      </c>
      <c r="H21" s="26">
        <f>SUMIF($A$5:$A$16,$A21,H$5:H$16)</f>
        <v/>
      </c>
      <c r="I21" s="26">
        <f>SUMIF($A$5:$A$16,$A21,I$5:I$16)</f>
        <v/>
      </c>
      <c r="J21" s="26">
        <f>SUMIF($A$5:$A$16,$A21,J$5:J$16)</f>
        <v/>
      </c>
      <c r="K21" s="26">
        <f>SUMIF($A$5:$A$16,$A21,K$5:K$16)</f>
        <v/>
      </c>
      <c r="L21" s="26">
        <f>SUMIF($A$5:$A$16,$A21,L$5:L$16)</f>
        <v/>
      </c>
      <c r="M21" s="26">
        <f>SUMIF($A$5:$A$16,$A21,M$5:M$16)</f>
        <v/>
      </c>
      <c r="N21" s="26">
        <f>SUMIF($A$5:$A$16,$A21,N$5:N$16)</f>
        <v/>
      </c>
      <c r="O21" s="26">
        <f>SUMIF($A$5:$A$16,$A21,O$5:O$16)</f>
        <v/>
      </c>
      <c r="P21" s="26">
        <f>SUMIF($A$5:$A$16,$A21,P$5:P$16)</f>
        <v/>
      </c>
      <c r="Q21" s="26">
        <f>SUMIF($A$5:$A$16,$A21,Q$5:Q$16)</f>
        <v/>
      </c>
      <c r="R21" s="26">
        <f>SUMIF($A$5:$A$16,$A21,R$5:R$16)</f>
        <v/>
      </c>
      <c r="S21" s="26">
        <f>SUMIF($A$5:$A$16,$A21,S$5:S$16)</f>
        <v/>
      </c>
      <c r="T21" s="26">
        <f>SUMIF($A$5:$A$16,$A21,T$5:T$16)</f>
        <v/>
      </c>
      <c r="U21" s="26">
        <f>SUMIF($A$5:$A$16,$A21,U$5:U$16)</f>
        <v/>
      </c>
      <c r="V21" s="26">
        <f>SUMIF($A$5:$A$16,$A21,V$5:V$16)</f>
        <v/>
      </c>
      <c r="W21" s="26">
        <f>SUMIF($A$5:$A$16,$A21,W$5:W$16)</f>
        <v/>
      </c>
      <c r="X21" s="26">
        <f>SUMIF($A$5:$A$16,$A21,X$5:X$16)</f>
        <v/>
      </c>
      <c r="Y21" s="26">
        <f>SUMIF($A$5:$A$16,$A21,Y$5:Y$16)</f>
        <v/>
      </c>
      <c r="Z21" s="26">
        <f>SUMIF($A$5:$A$16,$A21,Z$5:Z$16)</f>
        <v/>
      </c>
      <c r="AA21" s="26">
        <f>SUMIF($A$5:$A$16,$A21,AA$5:AA$16)</f>
        <v/>
      </c>
      <c r="AB21" s="26">
        <f>SUMIF($A$5:$A$16,$A21,AB$5:AB$16)</f>
        <v/>
      </c>
      <c r="AC21" s="26">
        <f>SUMIF($A$5:$A$16,$A21,AC$5:AC$16)</f>
        <v/>
      </c>
      <c r="AD21" s="26">
        <f>SUMIF($A$5:$A$16,$A21,AD$5:AD$16)</f>
        <v/>
      </c>
      <c r="AE21" s="26">
        <f>SUMIF($A$5:$A$16,$A21,AE$5:AE$16)</f>
        <v/>
      </c>
      <c r="AF21" s="26">
        <f>SUMIF($A$5:$A$16,$A21,AF$5:AF$16)</f>
        <v/>
      </c>
      <c r="AG21" s="26">
        <f>SUMIF($A$5:$A$16,$A21,AG$5:AG$16)</f>
        <v/>
      </c>
      <c r="AH21" s="26">
        <f>SUMIF($A$5:$A$16,$A21,AH$5:AH$16)</f>
        <v/>
      </c>
      <c r="AI21" s="26">
        <f>SUMIF($A$5:$A$16,$A21,AI$5:AI$16)</f>
        <v/>
      </c>
      <c r="AJ21" s="26">
        <f>SUMIF($A$5:$A$16,$A21,AJ$5:AJ$16)</f>
        <v/>
      </c>
      <c r="AK21" s="26">
        <f>SUMIF($A$5:$A$16,$A21,AK$5:AK$16)</f>
        <v/>
      </c>
      <c r="AL21" s="26">
        <f>SUMIF($A$5:$A$16,$A21,AL$5:AL$16)</f>
        <v/>
      </c>
    </row>
    <row r="22">
      <c r="A22" s="23" t="inlineStr">
        <is>
          <t>NORRONA STORE</t>
        </is>
      </c>
      <c r="B22" s="22" t="n"/>
      <c r="C22" s="26">
        <f>SUMIF($A$5:$A$16,$A22,C$5:C$16)</f>
        <v/>
      </c>
      <c r="D22" s="26">
        <f>SUMIF($A$5:$A$16,$A22,D$5:D$16)</f>
        <v/>
      </c>
      <c r="E22" s="26">
        <f>SUMIF($A$5:$A$16,$A22,E$5:E$16)</f>
        <v/>
      </c>
      <c r="F22" s="26">
        <f>SUMIF($A$5:$A$16,$A22,F$5:F$16)</f>
        <v/>
      </c>
      <c r="G22" s="26">
        <f>SUMIF($A$5:$A$16,$A22,G$5:G$16)</f>
        <v/>
      </c>
      <c r="H22" s="26">
        <f>SUMIF($A$5:$A$16,$A22,H$5:H$16)</f>
        <v/>
      </c>
      <c r="I22" s="26">
        <f>SUMIF($A$5:$A$16,$A22,I$5:I$16)</f>
        <v/>
      </c>
      <c r="J22" s="26">
        <f>SUMIF($A$5:$A$16,$A22,J$5:J$16)</f>
        <v/>
      </c>
      <c r="K22" s="26">
        <f>SUMIF($A$5:$A$16,$A22,K$5:K$16)</f>
        <v/>
      </c>
      <c r="L22" s="26">
        <f>SUMIF($A$5:$A$16,$A22,L$5:L$16)</f>
        <v/>
      </c>
      <c r="M22" s="26">
        <f>SUMIF($A$5:$A$16,$A22,M$5:M$16)</f>
        <v/>
      </c>
      <c r="N22" s="26">
        <f>SUMIF($A$5:$A$16,$A22,N$5:N$16)</f>
        <v/>
      </c>
      <c r="O22" s="26">
        <f>SUMIF($A$5:$A$16,$A22,O$5:O$16)</f>
        <v/>
      </c>
      <c r="P22" s="26">
        <f>SUMIF($A$5:$A$16,$A22,P$5:P$16)</f>
        <v/>
      </c>
      <c r="Q22" s="26">
        <f>SUMIF($A$5:$A$16,$A22,Q$5:Q$16)</f>
        <v/>
      </c>
      <c r="R22" s="26">
        <f>SUMIF($A$5:$A$16,$A22,R$5:R$16)</f>
        <v/>
      </c>
      <c r="S22" s="26">
        <f>SUMIF($A$5:$A$16,$A22,S$5:S$16)</f>
        <v/>
      </c>
      <c r="T22" s="26">
        <f>SUMIF($A$5:$A$16,$A22,T$5:T$16)</f>
        <v/>
      </c>
      <c r="U22" s="26">
        <f>SUMIF($A$5:$A$16,$A22,U$5:U$16)</f>
        <v/>
      </c>
      <c r="V22" s="26">
        <f>SUMIF($A$5:$A$16,$A22,V$5:V$16)</f>
        <v/>
      </c>
      <c r="W22" s="26">
        <f>SUMIF($A$5:$A$16,$A22,W$5:W$16)</f>
        <v/>
      </c>
      <c r="X22" s="26">
        <f>SUMIF($A$5:$A$16,$A22,X$5:X$16)</f>
        <v/>
      </c>
      <c r="Y22" s="26">
        <f>SUMIF($A$5:$A$16,$A22,Y$5:Y$16)</f>
        <v/>
      </c>
      <c r="Z22" s="26">
        <f>SUMIF($A$5:$A$16,$A22,Z$5:Z$16)</f>
        <v/>
      </c>
      <c r="AA22" s="26">
        <f>SUMIF($A$5:$A$16,$A22,AA$5:AA$16)</f>
        <v/>
      </c>
      <c r="AB22" s="26">
        <f>SUMIF($A$5:$A$16,$A22,AB$5:AB$16)</f>
        <v/>
      </c>
      <c r="AC22" s="26">
        <f>SUMIF($A$5:$A$16,$A22,AC$5:AC$16)</f>
        <v/>
      </c>
      <c r="AD22" s="26">
        <f>SUMIF($A$5:$A$16,$A22,AD$5:AD$16)</f>
        <v/>
      </c>
      <c r="AE22" s="26">
        <f>SUMIF($A$5:$A$16,$A22,AE$5:AE$16)</f>
        <v/>
      </c>
      <c r="AF22" s="26">
        <f>SUMIF($A$5:$A$16,$A22,AF$5:AF$16)</f>
        <v/>
      </c>
      <c r="AG22" s="26">
        <f>SUMIF($A$5:$A$16,$A22,AG$5:AG$16)</f>
        <v/>
      </c>
      <c r="AH22" s="26">
        <f>SUMIF($A$5:$A$16,$A22,AH$5:AH$16)</f>
        <v/>
      </c>
      <c r="AI22" s="26">
        <f>SUMIF($A$5:$A$16,$A22,AI$5:AI$16)</f>
        <v/>
      </c>
      <c r="AJ22" s="26">
        <f>SUMIF($A$5:$A$16,$A22,AJ$5:AJ$16)</f>
        <v/>
      </c>
      <c r="AK22" s="26">
        <f>SUMIF($A$5:$A$16,$A22,AK$5:AK$16)</f>
        <v/>
      </c>
      <c r="AL22" s="26">
        <f>SUMIF($A$5:$A$16,$A22,AL$5:AL$16)</f>
        <v/>
      </c>
    </row>
    <row r="23">
      <c r="A23" s="23" t="inlineStr">
        <is>
          <t>PU STORE</t>
        </is>
      </c>
      <c r="B23" s="22" t="n"/>
      <c r="C23" s="26">
        <f>SUMIF($A$5:$A$16,$A23,C$5:C$16)</f>
        <v/>
      </c>
      <c r="D23" s="26">
        <f>SUMIF($A$5:$A$16,$A23,D$5:D$16)</f>
        <v/>
      </c>
      <c r="E23" s="26">
        <f>SUMIF($A$5:$A$16,$A23,E$5:E$16)</f>
        <v/>
      </c>
      <c r="F23" s="26">
        <f>SUMIF($A$5:$A$16,$A23,F$5:F$16)</f>
        <v/>
      </c>
      <c r="G23" s="26">
        <f>SUMIF($A$5:$A$16,$A23,G$5:G$16)</f>
        <v/>
      </c>
      <c r="H23" s="26">
        <f>SUMIF($A$5:$A$16,$A23,H$5:H$16)</f>
        <v/>
      </c>
      <c r="I23" s="26">
        <f>SUMIF($A$5:$A$16,$A23,I$5:I$16)</f>
        <v/>
      </c>
      <c r="J23" s="26">
        <f>SUMIF($A$5:$A$16,$A23,J$5:J$16)</f>
        <v/>
      </c>
      <c r="K23" s="26">
        <f>SUMIF($A$5:$A$16,$A23,K$5:K$16)</f>
        <v/>
      </c>
      <c r="L23" s="26">
        <f>SUMIF($A$5:$A$16,$A23,L$5:L$16)</f>
        <v/>
      </c>
      <c r="M23" s="26">
        <f>SUMIF($A$5:$A$16,$A23,M$5:M$16)</f>
        <v/>
      </c>
      <c r="N23" s="26">
        <f>SUMIF($A$5:$A$16,$A23,N$5:N$16)</f>
        <v/>
      </c>
      <c r="O23" s="26">
        <f>SUMIF($A$5:$A$16,$A23,O$5:O$16)</f>
        <v/>
      </c>
      <c r="P23" s="26">
        <f>SUMIF($A$5:$A$16,$A23,P$5:P$16)</f>
        <v/>
      </c>
      <c r="Q23" s="26">
        <f>SUMIF($A$5:$A$16,$A23,Q$5:Q$16)</f>
        <v/>
      </c>
      <c r="R23" s="26">
        <f>SUMIF($A$5:$A$16,$A23,R$5:R$16)</f>
        <v/>
      </c>
      <c r="S23" s="26">
        <f>SUMIF($A$5:$A$16,$A23,S$5:S$16)</f>
        <v/>
      </c>
      <c r="T23" s="26">
        <f>SUMIF($A$5:$A$16,$A23,T$5:T$16)</f>
        <v/>
      </c>
      <c r="U23" s="26">
        <f>SUMIF($A$5:$A$16,$A23,U$5:U$16)</f>
        <v/>
      </c>
      <c r="V23" s="26">
        <f>SUMIF($A$5:$A$16,$A23,V$5:V$16)</f>
        <v/>
      </c>
      <c r="W23" s="26">
        <f>SUMIF($A$5:$A$16,$A23,W$5:W$16)</f>
        <v/>
      </c>
      <c r="X23" s="26">
        <f>SUMIF($A$5:$A$16,$A23,X$5:X$16)</f>
        <v/>
      </c>
      <c r="Y23" s="26">
        <f>SUMIF($A$5:$A$16,$A23,Y$5:Y$16)</f>
        <v/>
      </c>
      <c r="Z23" s="26">
        <f>SUMIF($A$5:$A$16,$A23,Z$5:Z$16)</f>
        <v/>
      </c>
      <c r="AA23" s="26">
        <f>SUMIF($A$5:$A$16,$A23,AA$5:AA$16)</f>
        <v/>
      </c>
      <c r="AB23" s="26">
        <f>SUMIF($A$5:$A$16,$A23,AB$5:AB$16)</f>
        <v/>
      </c>
      <c r="AC23" s="26">
        <f>SUMIF($A$5:$A$16,$A23,AC$5:AC$16)</f>
        <v/>
      </c>
      <c r="AD23" s="26">
        <f>SUMIF($A$5:$A$16,$A23,AD$5:AD$16)</f>
        <v/>
      </c>
      <c r="AE23" s="26">
        <f>SUMIF($A$5:$A$16,$A23,AE$5:AE$16)</f>
        <v/>
      </c>
      <c r="AF23" s="26">
        <f>SUMIF($A$5:$A$16,$A23,AF$5:AF$16)</f>
        <v/>
      </c>
      <c r="AG23" s="26">
        <f>SUMIF($A$5:$A$16,$A23,AG$5:AG$16)</f>
        <v/>
      </c>
      <c r="AH23" s="26">
        <f>SUMIF($A$5:$A$16,$A23,AH$5:AH$16)</f>
        <v/>
      </c>
      <c r="AI23" s="26">
        <f>SUMIF($A$5:$A$16,$A23,AI$5:AI$16)</f>
        <v/>
      </c>
      <c r="AJ23" s="26">
        <f>SUMIF($A$5:$A$16,$A23,AJ$5:AJ$16)</f>
        <v/>
      </c>
      <c r="AK23" s="26">
        <f>SUMIF($A$5:$A$16,$A23,AK$5:AK$16)</f>
        <v/>
      </c>
      <c r="AL23" s="26">
        <f>SUMIF($A$5:$A$16,$A23,AL$5:AL$16)</f>
        <v/>
      </c>
    </row>
    <row r="25">
      <c r="A25" s="8" t="inlineStr">
        <is>
          <t>年間 想定ROAS（税抜ベース＝広告売上÷広告費）</t>
        </is>
      </c>
      <c r="AJ25" s="36">
        <f>IF(AI17=0,0,AJ17/AI17)</f>
        <v/>
      </c>
    </row>
  </sheetData>
  <mergeCells count="9">
    <mergeCell ref="C3:F3"/>
    <mergeCell ref="S3:V3"/>
    <mergeCell ref="G3:J3"/>
    <mergeCell ref="W3:Z3"/>
    <mergeCell ref="K3:N3"/>
    <mergeCell ref="AA3:AD3"/>
    <mergeCell ref="O3:R3"/>
    <mergeCell ref="AE3:AH3"/>
    <mergeCell ref="AI3:A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シナリオ比較（年間売上・税抜）</t>
        </is>
      </c>
    </row>
    <row r="2">
      <c r="A2" s="2" t="inlineStr">
        <is>
          <t>自然売上とROASの達成度を掛けて年間売上を試算。青字は変更可。</t>
        </is>
      </c>
    </row>
    <row r="4">
      <c r="A4" s="14" t="inlineStr">
        <is>
          <t>シナリオ</t>
        </is>
      </c>
      <c r="B4" s="14" t="inlineStr">
        <is>
          <t>自然売上 達成度</t>
        </is>
      </c>
      <c r="C4" s="14" t="inlineStr">
        <is>
          <t>ROAS 達成度</t>
        </is>
      </c>
      <c r="D4" s="14" t="inlineStr">
        <is>
          <t>年間売上(4ストア計)</t>
        </is>
      </c>
      <c r="E4" s="14" t="inlineStr">
        <is>
          <t>vs 2.8億</t>
        </is>
      </c>
      <c r="F4" s="14" t="inlineStr">
        <is>
          <t>vs 3.2億</t>
        </is>
      </c>
      <c r="G4" s="14" t="inlineStr">
        <is>
          <t>9〜4月 必要な月平均</t>
        </is>
      </c>
      <c r="H4" s="14" t="inlineStr">
        <is>
          <t>FULLMARKS単体(年間)</t>
        </is>
      </c>
      <c r="I4" s="14" t="inlineStr">
        <is>
          <t>FM単体 vs 2.8億</t>
        </is>
      </c>
    </row>
    <row r="5">
      <c r="A5" s="23" t="inlineStr">
        <is>
          <t>保守（前年の広告比率25%相当＝自然売上0.88・ROAS0.8）</t>
        </is>
      </c>
      <c r="B5" s="37" t="n">
        <v>0.88</v>
      </c>
      <c r="C5" s="37" t="n">
        <v>0.8</v>
      </c>
      <c r="D5" s="38">
        <f>前提!$B$17+月別目標!$D$14*B5+月別目標!$F$14*C5</f>
        <v/>
      </c>
      <c r="E5" s="38">
        <f>D5-前提!$B$6</f>
        <v/>
      </c>
      <c r="F5" s="38">
        <f>D5-前提!$B$7</f>
        <v/>
      </c>
      <c r="G5" s="38">
        <f>(D5-前提!$B$17)/8</f>
        <v/>
      </c>
      <c r="H5" s="38">
        <f>前提!$B$17+(ストア別ブランド別!AK20)*B5+(ストア別ブランド別!AJ20)*C5</f>
        <v/>
      </c>
      <c r="I5" s="38">
        <f>H5-前提!$B$6</f>
        <v/>
      </c>
    </row>
    <row r="6">
      <c r="A6" s="23" t="inlineStr">
        <is>
          <t>標準（前提シートどおり）</t>
        </is>
      </c>
      <c r="B6" s="37" t="n">
        <v>1</v>
      </c>
      <c r="C6" s="37" t="n">
        <v>1</v>
      </c>
      <c r="D6" s="38">
        <f>前提!$B$17+月別目標!$D$14*B6+月別目標!$F$14*C6</f>
        <v/>
      </c>
      <c r="E6" s="38">
        <f>D6-前提!$B$6</f>
        <v/>
      </c>
      <c r="F6" s="38">
        <f>D6-前提!$B$7</f>
        <v/>
      </c>
      <c r="G6" s="38">
        <f>(D6-前提!$B$17)/8</f>
        <v/>
      </c>
      <c r="H6" s="38">
        <f>前提!$B$17+(ストア別ブランド別!AK20)*B6+(ストア別ブランド別!AJ20)*C6</f>
        <v/>
      </c>
      <c r="I6" s="38">
        <f>H6-前提!$B$6</f>
        <v/>
      </c>
    </row>
    <row r="7">
      <c r="A7" s="23" t="inlineStr">
        <is>
          <t>強気（自然+5%・ROAS1.2倍）</t>
        </is>
      </c>
      <c r="B7" s="37" t="n">
        <v>1.05</v>
      </c>
      <c r="C7" s="37" t="n">
        <v>1.2</v>
      </c>
      <c r="D7" s="38">
        <f>前提!$B$17+月別目標!$D$14*B7+月別目標!$F$14*C7</f>
        <v/>
      </c>
      <c r="E7" s="38">
        <f>D7-前提!$B$6</f>
        <v/>
      </c>
      <c r="F7" s="38">
        <f>D7-前提!$B$7</f>
        <v/>
      </c>
      <c r="G7" s="38">
        <f>(D7-前提!$B$17)/8</f>
        <v/>
      </c>
      <c r="H7" s="38">
        <f>前提!$B$17+(ストア別ブランド別!AK20)*B7+(ストア別ブランド別!AJ20)*C7</f>
        <v/>
      </c>
      <c r="I7" s="38">
        <f>H7-前提!$B$6</f>
        <v/>
      </c>
    </row>
    <row r="9">
      <c r="A9" s="2" t="inlineStr">
        <is>
          <t>読み方: 保守でも2.8億に届くかが判断基準。届かない場合は10月・12月の広告費増額か、企画で自然売上を上積みする。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8" customWidth="1" min="9" max="9"/>
    <col width="30" customWidth="1" min="10" max="10"/>
  </cols>
  <sheetData>
    <row r="1">
      <c r="A1" s="1" t="inlineStr">
        <is>
          <t>月次チェック（税抜）― 実績を入れると、2.8億に対する残り必要額が出る</t>
        </is>
      </c>
    </row>
    <row r="2">
      <c r="A2" s="2" t="inlineStr">
        <is>
          <t>毎月、C列に会社ファイルの売上実績（税抜）を入力。未入力の月は目標値で仮置きして累計を出す。</t>
        </is>
      </c>
    </row>
    <row r="4">
      <c r="A4" s="14" t="inlineStr">
        <is>
          <t>月</t>
        </is>
      </c>
      <c r="B4" s="14" t="inlineStr">
        <is>
          <t>目標</t>
        </is>
      </c>
      <c r="C4" s="14" t="inlineStr">
        <is>
          <t>実績（入力）</t>
        </is>
      </c>
      <c r="D4" s="14" t="inlineStr">
        <is>
          <t>目標差</t>
        </is>
      </c>
      <c r="E4" s="14" t="inlineStr">
        <is>
          <t>累計 目標</t>
        </is>
      </c>
      <c r="F4" s="14" t="inlineStr">
        <is>
          <t>累計 実績/見込</t>
        </is>
      </c>
      <c r="G4" s="14" t="inlineStr">
        <is>
          <t>累計 会社予算</t>
        </is>
      </c>
      <c r="H4" s="14" t="inlineStr">
        <is>
          <t>2.8億まで残り</t>
        </is>
      </c>
      <c r="I4" s="14" t="inlineStr">
        <is>
          <t>残り月の必要月平均</t>
        </is>
      </c>
      <c r="J4" s="14" t="inlineStr">
        <is>
          <t>メモ</t>
        </is>
      </c>
    </row>
    <row r="5">
      <c r="A5" s="15" t="inlineStr">
        <is>
          <t>5〜8月 実績</t>
        </is>
      </c>
      <c r="B5" s="21">
        <f>前提!$C$17</f>
        <v/>
      </c>
      <c r="C5" s="21">
        <f>前提!$B$17</f>
        <v/>
      </c>
      <c r="D5" s="21">
        <f>C5-B5</f>
        <v/>
      </c>
      <c r="E5" s="21">
        <f>B5</f>
        <v/>
      </c>
      <c r="F5" s="21">
        <f>C5</f>
        <v/>
      </c>
      <c r="G5" s="21">
        <f>前提!$C$17</f>
        <v/>
      </c>
      <c r="H5" s="21">
        <f>前提!$B$6-F5</f>
        <v/>
      </c>
      <c r="I5" s="21">
        <f>H5/8</f>
        <v/>
      </c>
      <c r="J5" s="17" t="n"/>
    </row>
    <row r="6">
      <c r="A6" s="23" t="inlineStr">
        <is>
          <t>2026-09</t>
        </is>
      </c>
      <c r="B6" s="24">
        <f>月別目標!G6</f>
        <v/>
      </c>
      <c r="C6" s="39" t="n"/>
      <c r="D6" s="38">
        <f>IF(C6="","",C6-B6)</f>
        <v/>
      </c>
      <c r="E6" s="38">
        <f>E5+B6</f>
        <v/>
      </c>
      <c r="F6" s="38">
        <f>F5+IF(C6="",B6,C6)</f>
        <v/>
      </c>
      <c r="G6" s="24">
        <f>G5+月別目標!B6</f>
        <v/>
      </c>
      <c r="H6" s="38">
        <f>前提!$B$6-F6</f>
        <v/>
      </c>
      <c r="I6" s="38">
        <f>IF(7=0,0,H6/7)</f>
        <v/>
      </c>
      <c r="J6" s="28" t="inlineStr">
        <is>
          <t>実績が空欄の月は目標で仮置き</t>
        </is>
      </c>
    </row>
    <row r="7">
      <c r="A7" s="23" t="inlineStr">
        <is>
          <t>2026-10</t>
        </is>
      </c>
      <c r="B7" s="24">
        <f>月別目標!G7</f>
        <v/>
      </c>
      <c r="C7" s="39" t="n"/>
      <c r="D7" s="38">
        <f>IF(C7="","",C7-B7)</f>
        <v/>
      </c>
      <c r="E7" s="38">
        <f>E6+B7</f>
        <v/>
      </c>
      <c r="F7" s="38">
        <f>F6+IF(C7="",B7,C7)</f>
        <v/>
      </c>
      <c r="G7" s="24">
        <f>G6+月別目標!B7</f>
        <v/>
      </c>
      <c r="H7" s="38">
        <f>前提!$B$6-F7</f>
        <v/>
      </c>
      <c r="I7" s="38">
        <f>IF(6=0,0,H7/6)</f>
        <v/>
      </c>
      <c r="J7" s="28" t="inlineStr"/>
    </row>
    <row r="8">
      <c r="A8" s="23" t="inlineStr">
        <is>
          <t>2026-11</t>
        </is>
      </c>
      <c r="B8" s="24">
        <f>月別目標!G8</f>
        <v/>
      </c>
      <c r="C8" s="39" t="n"/>
      <c r="D8" s="38">
        <f>IF(C8="","",C8-B8)</f>
        <v/>
      </c>
      <c r="E8" s="38">
        <f>E7+B8</f>
        <v/>
      </c>
      <c r="F8" s="38">
        <f>F7+IF(C8="",B8,C8)</f>
        <v/>
      </c>
      <c r="G8" s="24">
        <f>G7+月別目標!B8</f>
        <v/>
      </c>
      <c r="H8" s="38">
        <f>前提!$B$6-F8</f>
        <v/>
      </c>
      <c r="I8" s="38">
        <f>IF(5=0,0,H8/5)</f>
        <v/>
      </c>
      <c r="J8" s="28" t="inlineStr"/>
    </row>
    <row r="9">
      <c r="A9" s="23" t="inlineStr">
        <is>
          <t>2026-12</t>
        </is>
      </c>
      <c r="B9" s="24">
        <f>月別目標!G9</f>
        <v/>
      </c>
      <c r="C9" s="39" t="n"/>
      <c r="D9" s="38">
        <f>IF(C9="","",C9-B9)</f>
        <v/>
      </c>
      <c r="E9" s="38">
        <f>E8+B9</f>
        <v/>
      </c>
      <c r="F9" s="38">
        <f>F8+IF(C9="",B9,C9)</f>
        <v/>
      </c>
      <c r="G9" s="24">
        <f>G8+月別目標!B9</f>
        <v/>
      </c>
      <c r="H9" s="38">
        <f>前提!$B$6-F9</f>
        <v/>
      </c>
      <c r="I9" s="38">
        <f>IF(4=0,0,H9/4)</f>
        <v/>
      </c>
      <c r="J9" s="28" t="inlineStr"/>
    </row>
    <row r="10">
      <c r="A10" s="23" t="inlineStr">
        <is>
          <t>2027-01</t>
        </is>
      </c>
      <c r="B10" s="24">
        <f>月別目標!G10</f>
        <v/>
      </c>
      <c r="C10" s="39" t="n"/>
      <c r="D10" s="38">
        <f>IF(C10="","",C10-B10)</f>
        <v/>
      </c>
      <c r="E10" s="38">
        <f>E9+B10</f>
        <v/>
      </c>
      <c r="F10" s="38">
        <f>F9+IF(C10="",B10,C10)</f>
        <v/>
      </c>
      <c r="G10" s="24">
        <f>G9+月別目標!B10</f>
        <v/>
      </c>
      <c r="H10" s="38">
        <f>前提!$B$6-F10</f>
        <v/>
      </c>
      <c r="I10" s="38">
        <f>IF(3=0,0,H10/3)</f>
        <v/>
      </c>
      <c r="J10" s="28" t="inlineStr"/>
    </row>
    <row r="11">
      <c r="A11" s="23" t="inlineStr">
        <is>
          <t>2027-02</t>
        </is>
      </c>
      <c r="B11" s="24">
        <f>月別目標!G11</f>
        <v/>
      </c>
      <c r="C11" s="39" t="n"/>
      <c r="D11" s="38">
        <f>IF(C11="","",C11-B11)</f>
        <v/>
      </c>
      <c r="E11" s="38">
        <f>E10+B11</f>
        <v/>
      </c>
      <c r="F11" s="38">
        <f>F10+IF(C11="",B11,C11)</f>
        <v/>
      </c>
      <c r="G11" s="24">
        <f>G10+月別目標!B11</f>
        <v/>
      </c>
      <c r="H11" s="38">
        <f>前提!$B$6-F11</f>
        <v/>
      </c>
      <c r="I11" s="38">
        <f>IF(2=0,0,H11/2)</f>
        <v/>
      </c>
      <c r="J11" s="28" t="inlineStr"/>
    </row>
    <row r="12">
      <c r="A12" s="23" t="inlineStr">
        <is>
          <t>2027-03</t>
        </is>
      </c>
      <c r="B12" s="24">
        <f>月別目標!G12</f>
        <v/>
      </c>
      <c r="C12" s="39" t="n"/>
      <c r="D12" s="38">
        <f>IF(C12="","",C12-B12)</f>
        <v/>
      </c>
      <c r="E12" s="38">
        <f>E11+B12</f>
        <v/>
      </c>
      <c r="F12" s="38">
        <f>F11+IF(C12="",B12,C12)</f>
        <v/>
      </c>
      <c r="G12" s="24">
        <f>G11+月別目標!B12</f>
        <v/>
      </c>
      <c r="H12" s="38">
        <f>前提!$B$6-F12</f>
        <v/>
      </c>
      <c r="I12" s="38">
        <f>IF(1=0,0,H12/1)</f>
        <v/>
      </c>
      <c r="J12" s="28" t="inlineStr"/>
    </row>
    <row r="13">
      <c r="A13" s="23" t="inlineStr">
        <is>
          <t>2027-04</t>
        </is>
      </c>
      <c r="B13" s="24">
        <f>月別目標!G13</f>
        <v/>
      </c>
      <c r="C13" s="39" t="n"/>
      <c r="D13" s="38">
        <f>IF(C13="","",C13-B13)</f>
        <v/>
      </c>
      <c r="E13" s="38">
        <f>E12+B13</f>
        <v/>
      </c>
      <c r="F13" s="38">
        <f>F12+IF(C13="",B13,C13)</f>
        <v/>
      </c>
      <c r="G13" s="24">
        <f>G12+月別目標!B13</f>
        <v/>
      </c>
      <c r="H13" s="38">
        <f>前提!$B$6-F13</f>
        <v/>
      </c>
      <c r="I13" s="38">
        <f>0</f>
        <v/>
      </c>
      <c r="J13" s="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2026-09-25T09:51:45Z</dcterms:created>
  <dcterms:modified xsi:type="dcterms:W3CDTF">2026-09-25T09:51:45Z</dcterms:modified>
</cp:coreProperties>
</file>