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提" sheetId="1" state="visible" r:id="rId1"/>
    <sheet xmlns:r="http://schemas.openxmlformats.org/officeDocument/2006/relationships" name="月別予算" sheetId="2" state="visible" r:id="rId2"/>
    <sheet xmlns:r="http://schemas.openxmlformats.org/officeDocument/2006/relationships" name="FULLMARKS内訳" sheetId="3" state="visible" r:id="rId3"/>
    <sheet xmlns:r="http://schemas.openxmlformats.org/officeDocument/2006/relationships" name="実施_日予算" sheetId="4" state="visible" r:id="rId4"/>
    <sheet xmlns:r="http://schemas.openxmlformats.org/officeDocument/2006/relationships" name="9月実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;(¥#,##0);-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8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4" fillId="2" borderId="0" pivotButton="0" quotePrefix="0" xfId="0"/>
    <xf numFmtId="2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4" fillId="4" borderId="0" pivotButton="0" quotePrefix="0" xfId="0"/>
    <xf numFmtId="164" fontId="4" fillId="2" borderId="0" pivotButton="0" quotePrefix="0" xfId="0"/>
    <xf numFmtId="165" fontId="5" fillId="0" borderId="0" pivotButton="0" quotePrefix="0" xfId="0"/>
    <xf numFmtId="0" fontId="0" fillId="4" borderId="1" pivotButton="0" quotePrefix="0" xfId="0"/>
    <xf numFmtId="164" fontId="7" fillId="4" borderId="1" pivotButton="0" quotePrefix="0" xfId="0"/>
    <xf numFmtId="164" fontId="0" fillId="4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7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164" fontId="5" fillId="5" borderId="1" pivotButton="0" quotePrefix="0" xfId="0"/>
    <xf numFmtId="164" fontId="5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6" borderId="1" pivotButton="0" quotePrefix="0" xfId="0"/>
    <xf numFmtId="164" fontId="7" fillId="6" borderId="1" pivotButton="0" quotePrefix="0" xfId="0"/>
    <xf numFmtId="164" fontId="5" fillId="6" borderId="1" pivotButton="0" quotePrefix="0" xfId="0"/>
    <xf numFmtId="0" fontId="0" fillId="6" borderId="1" pivotButton="0" quotePrefix="0" xfId="0"/>
    <xf numFmtId="164" fontId="0" fillId="6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70" customWidth="1" min="5" max="5"/>
  </cols>
  <sheetData>
    <row r="1">
      <c r="A1" s="1" t="inlineStr">
        <is>
          <t>広告予算計画 2026-05〜2027-04（税抜）― 前提・入力値　2026-09-14 改訂（上限を税込1,200万に統一）</t>
        </is>
      </c>
    </row>
    <row r="2">
      <c r="A2" s="2" t="inlineStr">
        <is>
          <t>青字＝入力値、黄色＝仮置き（他ストアの実績や方針で差し替え）。他シートは全てこのシートを参照。方針: アウトレット品は広告しない／広告口座は FULLMARKS広告運用(Meta)・FULLMARKS Inc.(Google) のみ。</t>
        </is>
      </c>
    </row>
    <row r="4">
      <c r="A4" s="3" t="inlineStr">
        <is>
          <t>年間広告費上限（4ストア合計・税込）</t>
        </is>
      </c>
      <c r="B4" s="4" t="n">
        <v>12000000</v>
      </c>
      <c r="C4" s="2" t="inlineStr">
        <is>
          <t>会社の上限は税込1,200万（2026-09-14 ユーザー確認）</t>
        </is>
      </c>
    </row>
    <row r="5">
      <c r="A5" s="3" t="inlineStr">
        <is>
          <t>3ストア各社の予算シェア（10月〜、各）</t>
        </is>
      </c>
      <c r="B5" s="5" t="n">
        <v>0</v>
      </c>
      <c r="C5" s="2" t="inlineStr">
        <is>
          <t>他ECは実施が決まるまで0%（2026-09-28 ユーザー指示）。通常運用は全額 FULLMARKS。開店が決まったら各15%などに変更</t>
        </is>
      </c>
    </row>
    <row r="6">
      <c r="A6" s="3" t="inlineStr">
        <is>
          <t>9月 通常運用（FULLMARKS）</t>
        </is>
      </c>
      <c r="B6" s="4" t="n">
        <v>637248</v>
      </c>
      <c r="C6" s="2" t="inlineStr">
        <is>
          <t>9月 確定実績 ¥637,248（日割 ¥21,241）。予算65万の98%。イベント枠は含まない</t>
        </is>
      </c>
    </row>
    <row r="7">
      <c r="A7" s="3" t="inlineStr">
        <is>
          <t>消費税率（÷で税抜換算）</t>
        </is>
      </c>
      <c r="B7" s="6" t="n">
        <v>1.1</v>
      </c>
    </row>
    <row r="8">
      <c r="A8" s="7" t="inlineStr">
        <is>
          <t>年間広告費上限（税抜換算）← 以下の計画はすべてこの税抜額で管理</t>
        </is>
      </c>
      <c r="B8" s="8">
        <f>B4/B7</f>
        <v/>
      </c>
      <c r="C8" s="2" t="inlineStr">
        <is>
          <t>媒体（Google/Meta）の管理画面・API消化額は税抜。消費税は請求書で上乗せされる</t>
        </is>
      </c>
    </row>
    <row r="9">
      <c r="A9" s="7" t="inlineStr">
        <is>
          <t>実績（5〜8月）</t>
        </is>
      </c>
    </row>
    <row r="10">
      <c r="A10" s="9" t="inlineStr">
        <is>
          <t>月</t>
        </is>
      </c>
      <c r="B10" s="9" t="inlineStr">
        <is>
          <t>FULLMARKS</t>
        </is>
      </c>
      <c r="C10" s="9" t="inlineStr">
        <is>
          <t>その他(MDX等)</t>
        </is>
      </c>
      <c r="D10" s="9" t="inlineStr">
        <is>
          <t>合計</t>
        </is>
      </c>
      <c r="E10" s="9" t="inlineStr">
        <is>
          <t>備考</t>
        </is>
      </c>
    </row>
    <row r="11">
      <c r="A11" s="3" t="inlineStr">
        <is>
          <t>2026-05</t>
        </is>
      </c>
      <c r="B11" s="4" t="n">
        <v>280564</v>
      </c>
      <c r="C11" s="4" t="n">
        <v>0</v>
      </c>
      <c r="D11" s="10">
        <f>B11+C11</f>
        <v/>
      </c>
      <c r="E11" s="2" t="inlineStr">
        <is>
          <t>FULLMARKS API実績</t>
        </is>
      </c>
    </row>
    <row r="12">
      <c r="A12" s="3" t="inlineStr">
        <is>
          <t>2026-06</t>
        </is>
      </c>
      <c r="B12" s="4" t="n">
        <v>298599</v>
      </c>
      <c r="C12" s="4" t="n">
        <v>651401</v>
      </c>
      <c r="D12" s="10">
        <f>B12+C12</f>
        <v/>
      </c>
      <c r="E12" s="2" t="inlineStr">
        <is>
          <t>月合計95万（ユーザー提供）。差額はMDX管理口座等</t>
        </is>
      </c>
    </row>
    <row r="13">
      <c r="A13" s="3" t="inlineStr">
        <is>
          <t>2026-07</t>
        </is>
      </c>
      <c r="B13" s="4" t="n">
        <v>328194</v>
      </c>
      <c r="C13" s="4" t="n">
        <v>621806</v>
      </c>
      <c r="D13" s="10">
        <f>B13+C13</f>
        <v/>
      </c>
      <c r="E13" s="2" t="inlineStr">
        <is>
          <t>月合計95万（ユーザー提供）</t>
        </is>
      </c>
    </row>
    <row r="14">
      <c r="A14" s="3" t="inlineStr">
        <is>
          <t>2026-08</t>
        </is>
      </c>
      <c r="B14" s="4" t="n">
        <v>468641</v>
      </c>
      <c r="C14" s="4" t="n">
        <v>147557</v>
      </c>
      <c r="D14" s="10">
        <f>B14+C14</f>
        <v/>
      </c>
      <c r="E14" s="2" t="inlineStr">
        <is>
          <t>FULLMARKS API実績 + 広告代理店請求 税込162,313円→税抜147,557円（2026-09-14 ユーザー提供）</t>
        </is>
      </c>
    </row>
    <row r="15">
      <c r="A15" s="7" t="inlineStr">
        <is>
          <t>5〜8月 計</t>
        </is>
      </c>
      <c r="B15" s="8">
        <f>SUM(B11:B14)</f>
        <v/>
      </c>
      <c r="C15" s="8">
        <f>SUM(C11:C14)</f>
        <v/>
      </c>
      <c r="D15" s="8">
        <f>SUM(D11:D14)</f>
        <v/>
      </c>
    </row>
    <row r="18">
      <c r="A18" s="7" t="inlineStr">
        <is>
          <t>イベント予備費（通常運用と別枠。終わった企画は使った分だけを計上）</t>
        </is>
      </c>
    </row>
    <row r="19">
      <c r="A19" s="9" t="inlineStr">
        <is>
          <t>月</t>
        </is>
      </c>
      <c r="B19" s="9" t="inlineStr">
        <is>
          <t>内容</t>
        </is>
      </c>
      <c r="C19" s="9" t="inlineStr">
        <is>
          <t>金額</t>
        </is>
      </c>
    </row>
    <row r="20">
      <c r="A20" s="3" t="inlineStr">
        <is>
          <t>2026-09</t>
        </is>
      </c>
      <c r="B20" s="3" t="inlineStr">
        <is>
          <t>SW企画 実績（予備費 税込10万のうち使用分）</t>
        </is>
      </c>
      <c r="C20" s="11" t="n">
        <v>48422</v>
      </c>
    </row>
    <row r="21">
      <c r="A21" s="3" t="inlineStr">
        <is>
          <t>2026-11</t>
        </is>
      </c>
      <c r="B21" s="3" t="inlineStr">
        <is>
          <t>ブラックフライデー（他社と同日程・約4日間。11月の通常運用から10万を移す）</t>
        </is>
      </c>
      <c r="C21" s="12" t="n">
        <v>100000</v>
      </c>
    </row>
    <row r="22">
      <c r="A22" s="3" t="inlineStr">
        <is>
          <t>2026-12</t>
        </is>
      </c>
      <c r="B22" s="3" t="inlineStr">
        <is>
          <t>年末年始企画</t>
        </is>
      </c>
      <c r="C22" s="12" t="n">
        <v>100000</v>
      </c>
    </row>
    <row r="23">
      <c r="A23" s="3" t="inlineStr">
        <is>
          <t>2027-02</t>
        </is>
      </c>
      <c r="B23" s="3" t="inlineStr">
        <is>
          <t>冬セール</t>
        </is>
      </c>
      <c r="C23" s="12" t="n">
        <v>250000</v>
      </c>
    </row>
    <row r="24">
      <c r="A24" s="3" t="inlineStr">
        <is>
          <t>2027-03</t>
        </is>
      </c>
      <c r="B24" s="3" t="inlineStr">
        <is>
          <t>イベント告知予備</t>
        </is>
      </c>
      <c r="C24" s="12" t="n">
        <v>50000</v>
      </c>
    </row>
    <row r="25">
      <c r="A25" s="7" t="inlineStr">
        <is>
          <t>計</t>
        </is>
      </c>
      <c r="C25" s="8">
        <f>SUM(C20:C24)</f>
        <v/>
      </c>
    </row>
    <row r="27">
      <c r="A27" s="7" t="inlineStr">
        <is>
          <t>10〜4月 通常運用の月別配分比率（繁忙期に厚く。4月は残額調整）</t>
        </is>
      </c>
    </row>
    <row r="28">
      <c r="A28" s="9" t="inlineStr">
        <is>
          <t>月</t>
        </is>
      </c>
      <c r="B28" s="9" t="inlineStr">
        <is>
          <t>比率</t>
        </is>
      </c>
    </row>
    <row r="29">
      <c r="A29" s="3" t="inlineStr">
        <is>
          <t>2026-10</t>
        </is>
      </c>
      <c r="B29" s="5" t="n">
        <v>0.11575</v>
      </c>
    </row>
    <row r="30">
      <c r="A30" s="3" t="inlineStr">
        <is>
          <t>2026-11</t>
        </is>
      </c>
      <c r="B30" s="5" t="n">
        <v>0.16449</v>
      </c>
    </row>
    <row r="31">
      <c r="A31" s="3" t="inlineStr">
        <is>
          <t>2026-12</t>
        </is>
      </c>
      <c r="B31" s="5" t="n">
        <v>0.18727</v>
      </c>
    </row>
    <row r="32">
      <c r="A32" s="3" t="inlineStr">
        <is>
          <t>2027-01</t>
        </is>
      </c>
      <c r="B32" s="5" t="n">
        <v>0.14203</v>
      </c>
    </row>
    <row r="33">
      <c r="A33" s="3" t="inlineStr">
        <is>
          <t>2027-02</t>
        </is>
      </c>
      <c r="B33" s="5" t="n">
        <v>0.16231</v>
      </c>
    </row>
    <row r="34">
      <c r="A34" s="3" t="inlineStr">
        <is>
          <t>2027-03</t>
        </is>
      </c>
      <c r="B34" s="5" t="n">
        <v>0.11666</v>
      </c>
    </row>
    <row r="35">
      <c r="A35" s="3" t="inlineStr">
        <is>
          <t>2027-04</t>
        </is>
      </c>
      <c r="B35" s="5" t="n">
        <v>0.11</v>
      </c>
    </row>
    <row r="36">
      <c r="A36" s="7" t="inlineStr">
        <is>
          <t>計（100%）</t>
        </is>
      </c>
      <c r="B36" s="13">
        <f>SUM(B29:B35)</f>
        <v/>
      </c>
    </row>
    <row r="37">
      <c r="A37" s="7" t="inlineStr">
        <is>
          <t>10〜4月 通常運用の総額（上限−実績−9月−イベント）</t>
        </is>
      </c>
      <c r="B37" s="8">
        <f>前提!$B$8-前提!$D$15-前提!$B$6-前提!$C$25</f>
        <v/>
      </c>
    </row>
    <row r="38">
      <c r="A38" s="3" t="inlineStr">
        <is>
          <t>10月 通常運用の確定実績（月末に入力。空欄なら計画どおり）</t>
        </is>
      </c>
      <c r="B38" s="12" t="n"/>
    </row>
    <row r="39">
      <c r="A39" s="3" t="inlineStr">
        <is>
          <t>10月の使い残し（11月・12月に比率で上乗せ。2026-10-14 ユーザー指示）</t>
        </is>
      </c>
      <c r="B39" s="10">
        <f>IF(ISBLANK(前提!$B$38),0,前提!$B$37*前提!$B$29-前提!$B$38)</f>
        <v/>
      </c>
    </row>
    <row r="41">
      <c r="A41" s="7" t="inlineStr">
        <is>
          <t>FULLMARKS 内のブランド配分比率</t>
        </is>
      </c>
    </row>
    <row r="42">
      <c r="A42" s="9" t="inlineStr">
        <is>
          <t>ブランド/枠</t>
        </is>
      </c>
      <c r="B42" s="9" t="inlineStr">
        <is>
          <t>9月 比率</t>
        </is>
      </c>
      <c r="C42" s="9" t="inlineStr">
        <is>
          <t>10月〜 比率</t>
        </is>
      </c>
      <c r="D42" s="9" t="inlineStr">
        <is>
          <t>備考</t>
        </is>
      </c>
    </row>
    <row r="43">
      <c r="A43" s="3" t="inlineStr">
        <is>
          <t>HOUDINI</t>
        </is>
      </c>
      <c r="B43" s="5" t="n">
        <v>0.27</v>
      </c>
      <c r="C43" s="5" t="n">
        <v>0.26</v>
      </c>
      <c r="D43" s="2" t="inlineStr">
        <is>
          <t>広告売上の半分以上（9月 ROAS 11.8）。FULLMARKS で継続</t>
        </is>
      </c>
    </row>
    <row r="44">
      <c r="A44" s="3" t="inlineStr">
        <is>
          <t>商品連動(ショッピング/カタログ)</t>
        </is>
      </c>
      <c r="B44" s="5" t="n">
        <v>0.3</v>
      </c>
      <c r="C44" s="5" t="n">
        <v>0.23</v>
      </c>
      <c r="D44" s="2" t="inlineStr">
        <is>
          <t>通常価格品のみ（アウトレットは広告しない）。9月 ROAS: カタログ 4.6 / ショッピング 2.5。ショッピングを絞る</t>
        </is>
      </c>
    </row>
    <row r="45">
      <c r="A45" s="3" t="inlineStr">
        <is>
          <t>店舗指名(フルマークス)</t>
        </is>
      </c>
      <c r="B45" s="5" t="n">
        <v>0.17</v>
      </c>
      <c r="C45" s="5" t="n">
        <v>0.18</v>
      </c>
      <c r="D45" s="2" t="inlineStr">
        <is>
          <t>9月 ROAS 16.2 の安定枠</t>
        </is>
      </c>
    </row>
    <row r="46">
      <c r="A46" s="3" t="inlineStr">
        <is>
          <t>POC</t>
        </is>
      </c>
      <c r="B46" s="5" t="n">
        <v>0.09</v>
      </c>
      <c r="C46" s="5" t="n">
        <v>0.11</v>
      </c>
      <c r="D46" s="2" t="inlineStr">
        <is>
          <t>9月 ROAS 3.8。10月以降やや厚く</t>
        </is>
      </c>
    </row>
    <row r="47">
      <c r="A47" s="3" t="inlineStr">
        <is>
          <t>NORRØNA</t>
        </is>
      </c>
      <c r="B47" s="5" t="n">
        <v>0.07000000000000001</v>
      </c>
      <c r="C47" s="5" t="n">
        <v>0.07000000000000001</v>
      </c>
      <c r="D47" s="2" t="inlineStr">
        <is>
          <t>9月 ROAS 4.1（8月 1.0 から改善）。FULLMARKS で継続</t>
        </is>
      </c>
    </row>
    <row r="48">
      <c r="A48" s="3" t="inlineStr">
        <is>
          <t>ACLIMA</t>
        </is>
      </c>
      <c r="B48" s="5" t="n">
        <v>0.05</v>
      </c>
      <c r="C48" s="5" t="n">
        <v>0.03</v>
      </c>
      <c r="D48" s="2" t="inlineStr">
        <is>
          <t>8〜9月の売上の72%がセール品、広告 ROAS 2.6。縮小</t>
        </is>
      </c>
    </row>
    <row r="49">
      <c r="A49" s="3" t="inlineStr">
        <is>
          <t>HESTRA【新規】</t>
        </is>
      </c>
      <c r="B49" s="5" t="n">
        <v>0.04</v>
      </c>
      <c r="C49" s="5" t="n">
        <v>0.1</v>
      </c>
      <c r="D49" s="2" t="inlineStr">
        <is>
          <t>10〜1月が本番。売上の79%が通常品（粗利50%）。フィード未掲載の解消が前提</t>
        </is>
      </c>
    </row>
    <row r="50">
      <c r="A50" s="3" t="inlineStr">
        <is>
          <t>KANG【新規】</t>
        </is>
      </c>
      <c r="B50" s="5" t="n">
        <v>0.005</v>
      </c>
      <c r="C50" s="5" t="n">
        <v>0.01</v>
      </c>
      <c r="D50" s="2" t="inlineStr">
        <is>
          <t>テスト枠</t>
        </is>
      </c>
    </row>
    <row r="51">
      <c r="A51" s="3" t="inlineStr">
        <is>
          <t>PLUS ONE WORKS【新規】</t>
        </is>
      </c>
      <c r="B51" s="5" t="n">
        <v>0.005</v>
      </c>
      <c r="C51" s="5" t="n">
        <v>0.01</v>
      </c>
      <c r="D51" s="2" t="inlineStr">
        <is>
          <t>テスト枠</t>
        </is>
      </c>
    </row>
    <row r="52">
      <c r="A52" s="7" t="inlineStr">
        <is>
          <t>計（各100%）</t>
        </is>
      </c>
      <c r="B52" s="13">
        <f>SUM(B43:B51)</f>
        <v/>
      </c>
      <c r="C52" s="13">
        <f>SUM(C43:C51)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  <col width="14" customWidth="1" min="12" max="12"/>
    <col width="46" customWidth="1" min="13" max="13"/>
  </cols>
  <sheetData>
    <row r="1">
      <c r="A1" s="1" t="inlineStr">
        <is>
          <t>月別 広告予算（税抜）― 4ストア合計で年間 税込1,200万（税抜 約1,091万）</t>
        </is>
      </c>
    </row>
    <row r="2">
      <c r="A2" s="2" t="inlineStr">
        <is>
          <t>通常運用＝上限−実績−9月−イベント予備費 を10〜4月の比率で配分。他ECは実施が決まるまで0（前提!B5）で、全額 FULLMARKS。</t>
        </is>
      </c>
    </row>
    <row r="4">
      <c r="A4" s="9" t="inlineStr">
        <is>
          <t>月</t>
        </is>
      </c>
      <c r="B4" s="9" t="inlineStr">
        <is>
          <t>区分</t>
        </is>
      </c>
      <c r="C4" s="9" t="inlineStr">
        <is>
          <t>FULLMARKS</t>
        </is>
      </c>
      <c r="D4" s="9" t="inlineStr">
        <is>
          <t>HOUDINI STORE</t>
        </is>
      </c>
      <c r="E4" s="9" t="inlineStr">
        <is>
          <t>NORRONA STORE</t>
        </is>
      </c>
      <c r="F4" s="9" t="inlineStr">
        <is>
          <t>PU STORE</t>
        </is>
      </c>
      <c r="G4" s="9" t="inlineStr">
        <is>
          <t>その他(実績)</t>
        </is>
      </c>
      <c r="H4" s="9" t="inlineStr">
        <is>
          <t>通常運用 計</t>
        </is>
      </c>
      <c r="I4" s="9" t="inlineStr">
        <is>
          <t>イベント予備費</t>
        </is>
      </c>
      <c r="J4" s="9" t="inlineStr">
        <is>
          <t>月合計</t>
        </is>
      </c>
      <c r="K4" s="9" t="inlineStr">
        <is>
          <t>累計</t>
        </is>
      </c>
      <c r="L4" s="9" t="inlineStr">
        <is>
          <t>上限までの残り</t>
        </is>
      </c>
      <c r="M4" s="9" t="inlineStr">
        <is>
          <t>備考</t>
        </is>
      </c>
    </row>
    <row r="5">
      <c r="A5" s="14" t="inlineStr">
        <is>
          <t>2026-05</t>
        </is>
      </c>
      <c r="B5" s="14" t="inlineStr">
        <is>
          <t>実績</t>
        </is>
      </c>
      <c r="C5" s="15">
        <f>前提!B11</f>
        <v/>
      </c>
      <c r="D5" s="16" t="n">
        <v>0</v>
      </c>
      <c r="E5" s="16" t="n">
        <v>0</v>
      </c>
      <c r="F5" s="16" t="n">
        <v>0</v>
      </c>
      <c r="G5" s="15">
        <f>前提!C11</f>
        <v/>
      </c>
      <c r="H5" s="16">
        <f>C5+D5+E5+F5+G5</f>
        <v/>
      </c>
      <c r="I5" s="16" t="n">
        <v>0</v>
      </c>
      <c r="J5" s="16">
        <f>H5+I5</f>
        <v/>
      </c>
      <c r="K5" s="16">
        <f>J5</f>
        <v/>
      </c>
      <c r="L5" s="16">
        <f>前提!$B$8-K5</f>
        <v/>
      </c>
      <c r="M5" s="17" t="inlineStr">
        <is>
          <t>FULLMARKS API実績</t>
        </is>
      </c>
    </row>
    <row r="6">
      <c r="A6" s="14" t="inlineStr">
        <is>
          <t>2026-06</t>
        </is>
      </c>
      <c r="B6" s="14" t="inlineStr">
        <is>
          <t>実績</t>
        </is>
      </c>
      <c r="C6" s="15">
        <f>前提!B12</f>
        <v/>
      </c>
      <c r="D6" s="16" t="n">
        <v>0</v>
      </c>
      <c r="E6" s="16" t="n">
        <v>0</v>
      </c>
      <c r="F6" s="16" t="n">
        <v>0</v>
      </c>
      <c r="G6" s="15">
        <f>前提!C12</f>
        <v/>
      </c>
      <c r="H6" s="16">
        <f>C6+D6+E6+F6+G6</f>
        <v/>
      </c>
      <c r="I6" s="16" t="n">
        <v>0</v>
      </c>
      <c r="J6" s="16">
        <f>H6+I6</f>
        <v/>
      </c>
      <c r="K6" s="16">
        <f>K5+J6</f>
        <v/>
      </c>
      <c r="L6" s="16">
        <f>前提!$B$8-K6</f>
        <v/>
      </c>
      <c r="M6" s="17" t="inlineStr">
        <is>
          <t>月合計95万（ユーザー提供）。差額はMDX管理口座等</t>
        </is>
      </c>
    </row>
    <row r="7">
      <c r="A7" s="14" t="inlineStr">
        <is>
          <t>2026-07</t>
        </is>
      </c>
      <c r="B7" s="14" t="inlineStr">
        <is>
          <t>実績</t>
        </is>
      </c>
      <c r="C7" s="15">
        <f>前提!B13</f>
        <v/>
      </c>
      <c r="D7" s="16" t="n">
        <v>0</v>
      </c>
      <c r="E7" s="16" t="n">
        <v>0</v>
      </c>
      <c r="F7" s="16" t="n">
        <v>0</v>
      </c>
      <c r="G7" s="15">
        <f>前提!C13</f>
        <v/>
      </c>
      <c r="H7" s="16">
        <f>C7+D7+E7+F7+G7</f>
        <v/>
      </c>
      <c r="I7" s="16" t="n">
        <v>0</v>
      </c>
      <c r="J7" s="16">
        <f>H7+I7</f>
        <v/>
      </c>
      <c r="K7" s="16">
        <f>K6+J7</f>
        <v/>
      </c>
      <c r="L7" s="16">
        <f>前提!$B$8-K7</f>
        <v/>
      </c>
      <c r="M7" s="17" t="inlineStr">
        <is>
          <t>月合計95万（ユーザー提供）</t>
        </is>
      </c>
    </row>
    <row r="8">
      <c r="A8" s="14" t="inlineStr">
        <is>
          <t>2026-08</t>
        </is>
      </c>
      <c r="B8" s="14" t="inlineStr">
        <is>
          <t>実績</t>
        </is>
      </c>
      <c r="C8" s="15">
        <f>前提!B14</f>
        <v/>
      </c>
      <c r="D8" s="16" t="n">
        <v>0</v>
      </c>
      <c r="E8" s="16" t="n">
        <v>0</v>
      </c>
      <c r="F8" s="16" t="n">
        <v>0</v>
      </c>
      <c r="G8" s="15">
        <f>前提!C14</f>
        <v/>
      </c>
      <c r="H8" s="16">
        <f>C8+D8+E8+F8+G8</f>
        <v/>
      </c>
      <c r="I8" s="16" t="n">
        <v>0</v>
      </c>
      <c r="J8" s="16">
        <f>H8+I8</f>
        <v/>
      </c>
      <c r="K8" s="16">
        <f>K7+J8</f>
        <v/>
      </c>
      <c r="L8" s="16">
        <f>前提!$B$8-K8</f>
        <v/>
      </c>
      <c r="M8" s="17" t="inlineStr">
        <is>
          <t>FULLMARKS API実績 + 広告代理店請求 税込162,313円→税抜147,557円（2026-09-14 ユーザー提供）</t>
        </is>
      </c>
    </row>
    <row r="9">
      <c r="A9" s="18" t="inlineStr">
        <is>
          <t>2026-09</t>
        </is>
      </c>
      <c r="B9" s="18" t="inlineStr">
        <is>
          <t>実績</t>
        </is>
      </c>
      <c r="C9" s="19">
        <f>前提!$B$6</f>
        <v/>
      </c>
      <c r="D9" s="20" t="n">
        <v>0</v>
      </c>
      <c r="E9" s="20" t="n">
        <v>0</v>
      </c>
      <c r="F9" s="20" t="n">
        <v>0</v>
      </c>
      <c r="G9" s="20" t="n">
        <v>0</v>
      </c>
      <c r="H9" s="20">
        <f>C9+D9+E9+F9+G9</f>
        <v/>
      </c>
      <c r="I9" s="19">
        <f>前提!C20</f>
        <v/>
      </c>
      <c r="J9" s="20">
        <f>H9+I9</f>
        <v/>
      </c>
      <c r="K9" s="20">
        <f>K8+J9</f>
        <v/>
      </c>
      <c r="L9" s="20">
        <f>前提!$B$8-K9</f>
        <v/>
      </c>
      <c r="M9" s="17" t="inlineStr">
        <is>
          <t>FULLMARKSのみ。9月 確定実績 ¥637,248。SW企画は使用分 ¥48,422 を別枠で計上（予備費の残りは10〜4月へ）</t>
        </is>
      </c>
    </row>
    <row r="10">
      <c r="A10" s="18" t="inlineStr">
        <is>
          <t>2026-10</t>
        </is>
      </c>
      <c r="B10" s="18" t="inlineStr">
        <is>
          <t>計画</t>
        </is>
      </c>
      <c r="C10" s="20">
        <f>H10-D10-E10-F10</f>
        <v/>
      </c>
      <c r="D10" s="20">
        <f>ROUND(H10*前提!$B$5,0)</f>
        <v/>
      </c>
      <c r="E10" s="20">
        <f>ROUND(H10*前提!$B$5,0)</f>
        <v/>
      </c>
      <c r="F10" s="20">
        <f>ROUND(H10*前提!$B$5,0)</f>
        <v/>
      </c>
      <c r="G10" s="20" t="n">
        <v>0</v>
      </c>
      <c r="H10" s="20">
        <f>IF(ISBLANK(前提!$B$38),前提!$B$37*前提!$B$29,前提!$B$38)</f>
        <v/>
      </c>
      <c r="I10" s="20" t="n">
        <v>0</v>
      </c>
      <c r="J10" s="20">
        <f>H10+I10</f>
        <v/>
      </c>
      <c r="K10" s="20">
        <f>K9+J10</f>
        <v/>
      </c>
      <c r="L10" s="20">
        <f>前提!$B$8-K10</f>
        <v/>
      </c>
      <c r="M10" s="17" t="inlineStr">
        <is>
          <t>冬物の立ち上がり前。約80万に抑え、使い残しも11〜12月の通常品の冬物へ回す（10/14 ユーザー指示）</t>
        </is>
      </c>
    </row>
    <row r="11">
      <c r="A11" s="18" t="inlineStr">
        <is>
          <t>2026-11</t>
        </is>
      </c>
      <c r="B11" s="18" t="inlineStr">
        <is>
          <t>計画</t>
        </is>
      </c>
      <c r="C11" s="20">
        <f>H11-D11-E11-F11</f>
        <v/>
      </c>
      <c r="D11" s="20">
        <f>ROUND(H11*前提!$B$5,0)</f>
        <v/>
      </c>
      <c r="E11" s="20">
        <f>ROUND(H11*前提!$B$5,0)</f>
        <v/>
      </c>
      <c r="F11" s="20">
        <f>ROUND(H11*前提!$B$5,0)</f>
        <v/>
      </c>
      <c r="G11" s="20" t="n">
        <v>0</v>
      </c>
      <c r="H11" s="20">
        <f>前提!$B$37*前提!$B$30+前提!$B$39*前提!$B$30/(前提!$B$30+前提!$B$31)</f>
        <v/>
      </c>
      <c r="I11" s="19">
        <f>前提!C21</f>
        <v/>
      </c>
      <c r="J11" s="20">
        <f>H11+I11</f>
        <v/>
      </c>
      <c r="K11" s="20">
        <f>K10+J11</f>
        <v/>
      </c>
      <c r="L11" s="20">
        <f>前提!$B$8-K11</f>
        <v/>
      </c>
      <c r="M11" s="17" t="inlineStr">
        <is>
          <t>10月の使い残しを上乗せ（ブラックフライデー期間に厚く）</t>
        </is>
      </c>
    </row>
    <row r="12">
      <c r="A12" s="18" t="inlineStr">
        <is>
          <t>2026-12</t>
        </is>
      </c>
      <c r="B12" s="18" t="inlineStr">
        <is>
          <t>計画</t>
        </is>
      </c>
      <c r="C12" s="20">
        <f>H12-D12-E12-F12</f>
        <v/>
      </c>
      <c r="D12" s="20">
        <f>ROUND(H12*前提!$B$5,0)</f>
        <v/>
      </c>
      <c r="E12" s="20">
        <f>ROUND(H12*前提!$B$5,0)</f>
        <v/>
      </c>
      <c r="F12" s="20">
        <f>ROUND(H12*前提!$B$5,0)</f>
        <v/>
      </c>
      <c r="G12" s="20" t="n">
        <v>0</v>
      </c>
      <c r="H12" s="20">
        <f>前提!$B$37*前提!$B$31+前提!$B$39*前提!$B$31/(前提!$B$30+前提!$B$31)</f>
        <v/>
      </c>
      <c r="I12" s="19">
        <f>前提!C22</f>
        <v/>
      </c>
      <c r="J12" s="20">
        <f>H12+I12</f>
        <v/>
      </c>
      <c r="K12" s="20">
        <f>K11+J12</f>
        <v/>
      </c>
      <c r="L12" s="20">
        <f>前提!$B$8-K12</f>
        <v/>
      </c>
      <c r="M12" s="17" t="inlineStr">
        <is>
          <t>10月の使い残しを上乗せ。年末年始企画 予備10万</t>
        </is>
      </c>
    </row>
    <row r="13">
      <c r="A13" s="18" t="inlineStr">
        <is>
          <t>2027-01</t>
        </is>
      </c>
      <c r="B13" s="18" t="inlineStr">
        <is>
          <t>計画</t>
        </is>
      </c>
      <c r="C13" s="20">
        <f>H13-D13-E13-F13</f>
        <v/>
      </c>
      <c r="D13" s="20">
        <f>ROUND(H13*前提!$B$5,0)</f>
        <v/>
      </c>
      <c r="E13" s="20">
        <f>ROUND(H13*前提!$B$5,0)</f>
        <v/>
      </c>
      <c r="F13" s="20">
        <f>ROUND(H13*前提!$B$5,0)</f>
        <v/>
      </c>
      <c r="G13" s="20" t="n">
        <v>0</v>
      </c>
      <c r="H13" s="20">
        <f>前提!$B$37*前提!$B$32</f>
        <v/>
      </c>
      <c r="I13" s="20" t="n">
        <v>0</v>
      </c>
      <c r="J13" s="20">
        <f>H13+I13</f>
        <v/>
      </c>
      <c r="K13" s="20">
        <f>K12+J13</f>
        <v/>
      </c>
      <c r="L13" s="20">
        <f>前提!$B$8-K13</f>
        <v/>
      </c>
      <c r="M13" s="17" t="inlineStr"/>
    </row>
    <row r="14">
      <c r="A14" s="18" t="inlineStr">
        <is>
          <t>2027-02</t>
        </is>
      </c>
      <c r="B14" s="18" t="inlineStr">
        <is>
          <t>計画</t>
        </is>
      </c>
      <c r="C14" s="20">
        <f>H14-D14-E14-F14</f>
        <v/>
      </c>
      <c r="D14" s="20">
        <f>ROUND(H14*前提!$B$5,0)</f>
        <v/>
      </c>
      <c r="E14" s="20">
        <f>ROUND(H14*前提!$B$5,0)</f>
        <v/>
      </c>
      <c r="F14" s="20">
        <f>ROUND(H14*前提!$B$5,0)</f>
        <v/>
      </c>
      <c r="G14" s="20" t="n">
        <v>0</v>
      </c>
      <c r="H14" s="20">
        <f>前提!$B$37*前提!$B$33</f>
        <v/>
      </c>
      <c r="I14" s="19">
        <f>前提!C23</f>
        <v/>
      </c>
      <c r="J14" s="20">
        <f>H14+I14</f>
        <v/>
      </c>
      <c r="K14" s="20">
        <f>K13+J14</f>
        <v/>
      </c>
      <c r="L14" s="20">
        <f>前提!$B$8-K14</f>
        <v/>
      </c>
      <c r="M14" s="17" t="inlineStr">
        <is>
          <t>冬セール 予備25万</t>
        </is>
      </c>
    </row>
    <row r="15">
      <c r="A15" s="18" t="inlineStr">
        <is>
          <t>2027-03</t>
        </is>
      </c>
      <c r="B15" s="18" t="inlineStr">
        <is>
          <t>計画</t>
        </is>
      </c>
      <c r="C15" s="20">
        <f>H15-D15-E15-F15</f>
        <v/>
      </c>
      <c r="D15" s="20">
        <f>ROUND(H15*前提!$B$5,0)</f>
        <v/>
      </c>
      <c r="E15" s="20">
        <f>ROUND(H15*前提!$B$5,0)</f>
        <v/>
      </c>
      <c r="F15" s="20">
        <f>ROUND(H15*前提!$B$5,0)</f>
        <v/>
      </c>
      <c r="G15" s="20" t="n">
        <v>0</v>
      </c>
      <c r="H15" s="20">
        <f>前提!$B$37*前提!$B$34</f>
        <v/>
      </c>
      <c r="I15" s="19">
        <f>前提!C24</f>
        <v/>
      </c>
      <c r="J15" s="20">
        <f>H15+I15</f>
        <v/>
      </c>
      <c r="K15" s="20">
        <f>K14+J15</f>
        <v/>
      </c>
      <c r="L15" s="20">
        <f>前提!$B$8-K15</f>
        <v/>
      </c>
      <c r="M15" s="17" t="inlineStr">
        <is>
          <t>イベント告知予備5万</t>
        </is>
      </c>
    </row>
    <row r="16">
      <c r="A16" s="18" t="inlineStr">
        <is>
          <t>2027-04</t>
        </is>
      </c>
      <c r="B16" s="18" t="inlineStr">
        <is>
          <t>計画</t>
        </is>
      </c>
      <c r="C16" s="20">
        <f>H16-D16-E16-F16</f>
        <v/>
      </c>
      <c r="D16" s="20">
        <f>ROUND(H16*前提!$B$5,0)</f>
        <v/>
      </c>
      <c r="E16" s="20">
        <f>ROUND(H16*前提!$B$5,0)</f>
        <v/>
      </c>
      <c r="F16" s="20">
        <f>ROUND(H16*前提!$B$5,0)</f>
        <v/>
      </c>
      <c r="G16" s="20" t="n">
        <v>0</v>
      </c>
      <c r="H16" s="20">
        <f>前提!$B$37-SUM(H10:H15)</f>
        <v/>
      </c>
      <c r="I16" s="20" t="n">
        <v>0</v>
      </c>
      <c r="J16" s="20">
        <f>H16+I16</f>
        <v/>
      </c>
      <c r="K16" s="20">
        <f>K15+J16</f>
        <v/>
      </c>
      <c r="L16" s="20">
        <f>前提!$B$8-K16</f>
        <v/>
      </c>
      <c r="M16" s="17" t="inlineStr">
        <is>
          <t>調整月（残額を全額割当）</t>
        </is>
      </c>
    </row>
    <row r="17">
      <c r="A17" s="21" t="inlineStr">
        <is>
          <t>年間合計</t>
        </is>
      </c>
      <c r="B17" s="18" t="n"/>
      <c r="C17" s="22">
        <f>SUM(C5:C16)</f>
        <v/>
      </c>
      <c r="D17" s="22">
        <f>SUM(D5:D16)</f>
        <v/>
      </c>
      <c r="E17" s="22">
        <f>SUM(E5:E16)</f>
        <v/>
      </c>
      <c r="F17" s="22">
        <f>SUM(F5:F16)</f>
        <v/>
      </c>
      <c r="G17" s="22">
        <f>SUM(G5:G16)</f>
        <v/>
      </c>
      <c r="H17" s="22">
        <f>SUM(H5:H16)</f>
        <v/>
      </c>
      <c r="I17" s="22">
        <f>SUM(I5:I16)</f>
        <v/>
      </c>
      <c r="J17" s="22">
        <f>SUM(J5:J16)</f>
        <v/>
      </c>
      <c r="K17" s="20" t="n"/>
      <c r="L17" s="23">
        <f>前提!$B$8-J17</f>
        <v/>
      </c>
      <c r="M17" s="17" t="inlineStr">
        <is>
          <t>上限までの残りが0であること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60" customWidth="1" min="11" max="11"/>
  </cols>
  <sheetData>
    <row r="1">
      <c r="A1" s="1" t="inlineStr">
        <is>
          <t>FULLMARKS STORE ブランド別予算（月別予算のFULLMARKS列 × 前提の比率）</t>
        </is>
      </c>
    </row>
    <row r="2">
      <c r="A2" s="2" t="inlineStr">
        <is>
          <t>最終行は差引で列合計をFULLMARKS月額に一致させる。アウトレット品はどの枠でも広告しない。</t>
        </is>
      </c>
    </row>
    <row r="4">
      <c r="A4" s="24" t="inlineStr">
        <is>
          <t>ブランド/枠</t>
        </is>
      </c>
      <c r="B4" s="24" t="inlineStr">
        <is>
          <t>2026-09</t>
        </is>
      </c>
      <c r="C4" s="24" t="inlineStr">
        <is>
          <t>2026-10</t>
        </is>
      </c>
      <c r="D4" s="24" t="inlineStr">
        <is>
          <t>2026-11</t>
        </is>
      </c>
      <c r="E4" s="24" t="inlineStr">
        <is>
          <t>2026-12</t>
        </is>
      </c>
      <c r="F4" s="24" t="inlineStr">
        <is>
          <t>2027-01</t>
        </is>
      </c>
      <c r="G4" s="24" t="inlineStr">
        <is>
          <t>2027-02</t>
        </is>
      </c>
      <c r="H4" s="24" t="inlineStr">
        <is>
          <t>2027-03</t>
        </is>
      </c>
      <c r="I4" s="24" t="inlineStr">
        <is>
          <t>2027-04</t>
        </is>
      </c>
      <c r="J4" s="24" t="inlineStr">
        <is>
          <t>年間(9〜4月)</t>
        </is>
      </c>
      <c r="K4" s="24" t="inlineStr">
        <is>
          <t>備考</t>
        </is>
      </c>
    </row>
    <row r="5">
      <c r="A5" s="25" t="inlineStr">
        <is>
          <t>HOUDINI</t>
        </is>
      </c>
      <c r="B5" s="19">
        <f>ROUND(月別予算!$C$9*前提!$B$43,0)</f>
        <v/>
      </c>
      <c r="C5" s="19">
        <f>ROUND(月別予算!$C$10*前提!$C$43,0)</f>
        <v/>
      </c>
      <c r="D5" s="19">
        <f>ROUND(月別予算!$C$11*前提!$C$43,0)</f>
        <v/>
      </c>
      <c r="E5" s="19">
        <f>ROUND(月別予算!$C$12*前提!$C$43,0)</f>
        <v/>
      </c>
      <c r="F5" s="19">
        <f>ROUND(月別予算!$C$13*前提!$C$43,0)</f>
        <v/>
      </c>
      <c r="G5" s="19">
        <f>ROUND(月別予算!$C$14*前提!$C$43,0)</f>
        <v/>
      </c>
      <c r="H5" s="19">
        <f>ROUND(月別予算!$C$15*前提!$C$43,0)</f>
        <v/>
      </c>
      <c r="I5" s="19">
        <f>ROUND(月別予算!$C$16*前提!$C$43,0)</f>
        <v/>
      </c>
      <c r="J5" s="23">
        <f>SUM(B5:I5)</f>
        <v/>
      </c>
      <c r="K5" s="17" t="inlineStr">
        <is>
          <t>広告売上の半分以上（9月 ROAS 11.8）。FULLMARKS で継続</t>
        </is>
      </c>
    </row>
    <row r="6">
      <c r="A6" s="25" t="inlineStr">
        <is>
          <t>商品連動(ショッピング/カタログ)</t>
        </is>
      </c>
      <c r="B6" s="19">
        <f>ROUND(月別予算!$C$9*前提!$B$44,0)</f>
        <v/>
      </c>
      <c r="C6" s="19">
        <f>ROUND(月別予算!$C$10*前提!$C$44,0)</f>
        <v/>
      </c>
      <c r="D6" s="19">
        <f>ROUND(月別予算!$C$11*前提!$C$44,0)</f>
        <v/>
      </c>
      <c r="E6" s="19">
        <f>ROUND(月別予算!$C$12*前提!$C$44,0)</f>
        <v/>
      </c>
      <c r="F6" s="19">
        <f>ROUND(月別予算!$C$13*前提!$C$44,0)</f>
        <v/>
      </c>
      <c r="G6" s="19">
        <f>ROUND(月別予算!$C$14*前提!$C$44,0)</f>
        <v/>
      </c>
      <c r="H6" s="19">
        <f>ROUND(月別予算!$C$15*前提!$C$44,0)</f>
        <v/>
      </c>
      <c r="I6" s="19">
        <f>ROUND(月別予算!$C$16*前提!$C$44,0)</f>
        <v/>
      </c>
      <c r="J6" s="23">
        <f>SUM(B6:I6)</f>
        <v/>
      </c>
      <c r="K6" s="17" t="inlineStr">
        <is>
          <t>通常価格品のみ（アウトレットは広告しない）。9月 ROAS: カタログ 4.6 / ショッピング 2.5。ショッピングを絞る</t>
        </is>
      </c>
    </row>
    <row r="7">
      <c r="A7" s="25" t="inlineStr">
        <is>
          <t>店舗指名(フルマークス)</t>
        </is>
      </c>
      <c r="B7" s="19">
        <f>ROUND(月別予算!$C$9*前提!$B$45,0)</f>
        <v/>
      </c>
      <c r="C7" s="19">
        <f>ROUND(月別予算!$C$10*前提!$C$45,0)</f>
        <v/>
      </c>
      <c r="D7" s="19">
        <f>ROUND(月別予算!$C$11*前提!$C$45,0)</f>
        <v/>
      </c>
      <c r="E7" s="19">
        <f>ROUND(月別予算!$C$12*前提!$C$45,0)</f>
        <v/>
      </c>
      <c r="F7" s="19">
        <f>ROUND(月別予算!$C$13*前提!$C$45,0)</f>
        <v/>
      </c>
      <c r="G7" s="19">
        <f>ROUND(月別予算!$C$14*前提!$C$45,0)</f>
        <v/>
      </c>
      <c r="H7" s="19">
        <f>ROUND(月別予算!$C$15*前提!$C$45,0)</f>
        <v/>
      </c>
      <c r="I7" s="19">
        <f>ROUND(月別予算!$C$16*前提!$C$45,0)</f>
        <v/>
      </c>
      <c r="J7" s="23">
        <f>SUM(B7:I7)</f>
        <v/>
      </c>
      <c r="K7" s="17" t="inlineStr">
        <is>
          <t>9月 ROAS 16.2 の安定枠</t>
        </is>
      </c>
    </row>
    <row r="8">
      <c r="A8" s="25" t="inlineStr">
        <is>
          <t>POC</t>
        </is>
      </c>
      <c r="B8" s="19">
        <f>ROUND(月別予算!$C$9*前提!$B$46,0)</f>
        <v/>
      </c>
      <c r="C8" s="19">
        <f>ROUND(月別予算!$C$10*前提!$C$46,0)</f>
        <v/>
      </c>
      <c r="D8" s="19">
        <f>ROUND(月別予算!$C$11*前提!$C$46,0)</f>
        <v/>
      </c>
      <c r="E8" s="19">
        <f>ROUND(月別予算!$C$12*前提!$C$46,0)</f>
        <v/>
      </c>
      <c r="F8" s="19">
        <f>ROUND(月別予算!$C$13*前提!$C$46,0)</f>
        <v/>
      </c>
      <c r="G8" s="19">
        <f>ROUND(月別予算!$C$14*前提!$C$46,0)</f>
        <v/>
      </c>
      <c r="H8" s="19">
        <f>ROUND(月別予算!$C$15*前提!$C$46,0)</f>
        <v/>
      </c>
      <c r="I8" s="19">
        <f>ROUND(月別予算!$C$16*前提!$C$46,0)</f>
        <v/>
      </c>
      <c r="J8" s="23">
        <f>SUM(B8:I8)</f>
        <v/>
      </c>
      <c r="K8" s="17" t="inlineStr">
        <is>
          <t>9月 ROAS 3.8。10月以降やや厚く</t>
        </is>
      </c>
    </row>
    <row r="9">
      <c r="A9" s="25" t="inlineStr">
        <is>
          <t>NORRØNA</t>
        </is>
      </c>
      <c r="B9" s="19">
        <f>ROUND(月別予算!$C$9*前提!$B$47,0)</f>
        <v/>
      </c>
      <c r="C9" s="19">
        <f>ROUND(月別予算!$C$10*前提!$C$47,0)</f>
        <v/>
      </c>
      <c r="D9" s="19">
        <f>ROUND(月別予算!$C$11*前提!$C$47,0)</f>
        <v/>
      </c>
      <c r="E9" s="19">
        <f>ROUND(月別予算!$C$12*前提!$C$47,0)</f>
        <v/>
      </c>
      <c r="F9" s="19">
        <f>ROUND(月別予算!$C$13*前提!$C$47,0)</f>
        <v/>
      </c>
      <c r="G9" s="19">
        <f>ROUND(月別予算!$C$14*前提!$C$47,0)</f>
        <v/>
      </c>
      <c r="H9" s="19">
        <f>ROUND(月別予算!$C$15*前提!$C$47,0)</f>
        <v/>
      </c>
      <c r="I9" s="19">
        <f>ROUND(月別予算!$C$16*前提!$C$47,0)</f>
        <v/>
      </c>
      <c r="J9" s="23">
        <f>SUM(B9:I9)</f>
        <v/>
      </c>
      <c r="K9" s="17" t="inlineStr">
        <is>
          <t>9月 ROAS 4.1（8月 1.0 から改善）。FULLMARKS で継続</t>
        </is>
      </c>
    </row>
    <row r="10">
      <c r="A10" s="25" t="inlineStr">
        <is>
          <t>ACLIMA</t>
        </is>
      </c>
      <c r="B10" s="19">
        <f>ROUND(月別予算!$C$9*前提!$B$48,0)</f>
        <v/>
      </c>
      <c r="C10" s="19">
        <f>ROUND(月別予算!$C$10*前提!$C$48,0)</f>
        <v/>
      </c>
      <c r="D10" s="19">
        <f>ROUND(月別予算!$C$11*前提!$C$48,0)</f>
        <v/>
      </c>
      <c r="E10" s="19">
        <f>ROUND(月別予算!$C$12*前提!$C$48,0)</f>
        <v/>
      </c>
      <c r="F10" s="19">
        <f>ROUND(月別予算!$C$13*前提!$C$48,0)</f>
        <v/>
      </c>
      <c r="G10" s="19">
        <f>ROUND(月別予算!$C$14*前提!$C$48,0)</f>
        <v/>
      </c>
      <c r="H10" s="19">
        <f>ROUND(月別予算!$C$15*前提!$C$48,0)</f>
        <v/>
      </c>
      <c r="I10" s="19">
        <f>ROUND(月別予算!$C$16*前提!$C$48,0)</f>
        <v/>
      </c>
      <c r="J10" s="23">
        <f>SUM(B10:I10)</f>
        <v/>
      </c>
      <c r="K10" s="17" t="inlineStr">
        <is>
          <t>8〜9月の売上の72%がセール品、広告 ROAS 2.6。縮小</t>
        </is>
      </c>
    </row>
    <row r="11">
      <c r="A11" s="26" t="inlineStr">
        <is>
          <t>HESTRA【新規】</t>
        </is>
      </c>
      <c r="B11" s="27">
        <f>ROUND(月別予算!$C$9*前提!$B$49,0)</f>
        <v/>
      </c>
      <c r="C11" s="27">
        <f>ROUND(月別予算!$C$10*前提!$C$49,0)</f>
        <v/>
      </c>
      <c r="D11" s="27">
        <f>ROUND(月別予算!$C$11*前提!$C$49,0)</f>
        <v/>
      </c>
      <c r="E11" s="27">
        <f>ROUND(月別予算!$C$12*前提!$C$49,0)</f>
        <v/>
      </c>
      <c r="F11" s="27">
        <f>ROUND(月別予算!$C$13*前提!$C$49,0)</f>
        <v/>
      </c>
      <c r="G11" s="27">
        <f>ROUND(月別予算!$C$14*前提!$C$49,0)</f>
        <v/>
      </c>
      <c r="H11" s="27">
        <f>ROUND(月別予算!$C$15*前提!$C$49,0)</f>
        <v/>
      </c>
      <c r="I11" s="27">
        <f>ROUND(月別予算!$C$16*前提!$C$49,0)</f>
        <v/>
      </c>
      <c r="J11" s="28">
        <f>SUM(B11:I11)</f>
        <v/>
      </c>
      <c r="K11" s="17" t="inlineStr">
        <is>
          <t>10〜1月が本番。売上の79%が通常品（粗利50%）。フィード未掲載の解消が前提</t>
        </is>
      </c>
    </row>
    <row r="12">
      <c r="A12" s="26" t="inlineStr">
        <is>
          <t>KANG【新規】</t>
        </is>
      </c>
      <c r="B12" s="27">
        <f>ROUND(月別予算!$C$9*前提!$B$50,0)</f>
        <v/>
      </c>
      <c r="C12" s="27">
        <f>ROUND(月別予算!$C$10*前提!$C$50,0)</f>
        <v/>
      </c>
      <c r="D12" s="27">
        <f>ROUND(月別予算!$C$11*前提!$C$50,0)</f>
        <v/>
      </c>
      <c r="E12" s="27">
        <f>ROUND(月別予算!$C$12*前提!$C$50,0)</f>
        <v/>
      </c>
      <c r="F12" s="27">
        <f>ROUND(月別予算!$C$13*前提!$C$50,0)</f>
        <v/>
      </c>
      <c r="G12" s="27">
        <f>ROUND(月別予算!$C$14*前提!$C$50,0)</f>
        <v/>
      </c>
      <c r="H12" s="27">
        <f>ROUND(月別予算!$C$15*前提!$C$50,0)</f>
        <v/>
      </c>
      <c r="I12" s="27">
        <f>ROUND(月別予算!$C$16*前提!$C$50,0)</f>
        <v/>
      </c>
      <c r="J12" s="28">
        <f>SUM(B12:I12)</f>
        <v/>
      </c>
      <c r="K12" s="17" t="inlineStr">
        <is>
          <t>テスト枠</t>
        </is>
      </c>
    </row>
    <row r="13">
      <c r="A13" s="26" t="inlineStr">
        <is>
          <t>PLUS ONE WORKS【新規】</t>
        </is>
      </c>
      <c r="B13" s="27">
        <f>月別予算!$C$9-SUM(B5:B12)</f>
        <v/>
      </c>
      <c r="C13" s="27">
        <f>月別予算!$C$10-SUM(C5:C12)</f>
        <v/>
      </c>
      <c r="D13" s="27">
        <f>月別予算!$C$11-SUM(D5:D12)</f>
        <v/>
      </c>
      <c r="E13" s="27">
        <f>月別予算!$C$12-SUM(E5:E12)</f>
        <v/>
      </c>
      <c r="F13" s="27">
        <f>月別予算!$C$13-SUM(F5:F12)</f>
        <v/>
      </c>
      <c r="G13" s="27">
        <f>月別予算!$C$14-SUM(G5:G12)</f>
        <v/>
      </c>
      <c r="H13" s="27">
        <f>月別予算!$C$15-SUM(H5:H12)</f>
        <v/>
      </c>
      <c r="I13" s="27">
        <f>月別予算!$C$16-SUM(I5:I12)</f>
        <v/>
      </c>
      <c r="J13" s="28">
        <f>SUM(B13:I13)</f>
        <v/>
      </c>
      <c r="K13" s="17" t="inlineStr">
        <is>
          <t>テスト枠</t>
        </is>
      </c>
    </row>
    <row r="14">
      <c r="A14" s="21" t="inlineStr">
        <is>
          <t>合計</t>
        </is>
      </c>
      <c r="B14" s="22">
        <f>SUM(B5:B13)</f>
        <v/>
      </c>
      <c r="C14" s="22">
        <f>SUM(C5:C13)</f>
        <v/>
      </c>
      <c r="D14" s="22">
        <f>SUM(D5:D13)</f>
        <v/>
      </c>
      <c r="E14" s="22">
        <f>SUM(E5:E13)</f>
        <v/>
      </c>
      <c r="F14" s="22">
        <f>SUM(F5:F13)</f>
        <v/>
      </c>
      <c r="G14" s="22">
        <f>SUM(G5:G13)</f>
        <v/>
      </c>
      <c r="H14" s="22">
        <f>SUM(H5:H13)</f>
        <v/>
      </c>
      <c r="I14" s="22">
        <f>SUM(I5:I13)</f>
        <v/>
      </c>
      <c r="J14" s="22">
        <f>SUM(J5:J13)</f>
        <v/>
      </c>
      <c r="K14" s="18" t="n"/>
    </row>
    <row r="15">
      <c r="A15" s="21" t="inlineStr">
        <is>
          <t>月別予算との差（0）</t>
        </is>
      </c>
      <c r="B15" s="20">
        <f>B14-月別予算!$C$9</f>
        <v/>
      </c>
      <c r="C15" s="20">
        <f>C14-月別予算!$C$10</f>
        <v/>
      </c>
      <c r="D15" s="20">
        <f>D14-月別予算!$C$11</f>
        <v/>
      </c>
      <c r="E15" s="20">
        <f>E14-月別予算!$C$12</f>
        <v/>
      </c>
      <c r="F15" s="20">
        <f>F14-月別予算!$C$13</f>
        <v/>
      </c>
      <c r="G15" s="20">
        <f>G14-月別予算!$C$14</f>
        <v/>
      </c>
      <c r="H15" s="20">
        <f>H14-月別予算!$C$15</f>
        <v/>
      </c>
      <c r="I15" s="20">
        <f>I14-月別予算!$C$16</f>
        <v/>
      </c>
      <c r="J15" s="18" t="n"/>
      <c r="K15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8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実施用 キャンペーン別 日予算（月予算÷日数、100円単位）</t>
        </is>
      </c>
    </row>
    <row r="2">
      <c r="A2" s="2" t="inlineStr">
        <is>
          <t>緑＝新設キャンペーン。他ECは実施が決まるまで載せない（前提!B5 を0より大きくすると 指名45% / ショッピング30% / カタログ・RTG25% で行が出る）。ショッピング・カタログはすべて通常価格品のみ（アウトレット除外）。イベント予備費は欄外。</t>
        </is>
      </c>
    </row>
    <row r="3">
      <c r="A3" s="24" t="inlineStr">
        <is>
          <t>ストア</t>
        </is>
      </c>
      <c r="B3" s="24" t="inlineStr">
        <is>
          <t>ブランド/枠</t>
        </is>
      </c>
      <c r="C3" s="24" t="inlineStr">
        <is>
          <t>媒体</t>
        </is>
      </c>
      <c r="D3" s="24" t="inlineStr">
        <is>
          <t>キャンペーン</t>
        </is>
      </c>
      <c r="E3" s="24" t="inlineStr">
        <is>
          <t>2026-09 日予算</t>
        </is>
      </c>
      <c r="F3" s="24" t="inlineStr">
        <is>
          <t>2026-10 日予算</t>
        </is>
      </c>
      <c r="G3" s="24" t="inlineStr">
        <is>
          <t>2026-11 日予算</t>
        </is>
      </c>
      <c r="H3" s="24" t="inlineStr">
        <is>
          <t>2026-12 日予算</t>
        </is>
      </c>
      <c r="I3" s="24" t="inlineStr">
        <is>
          <t>2027-01 日予算</t>
        </is>
      </c>
      <c r="J3" s="24" t="inlineStr">
        <is>
          <t>2027-02 日予算</t>
        </is>
      </c>
      <c r="K3" s="24" t="inlineStr">
        <is>
          <t>2027-03 日予算</t>
        </is>
      </c>
      <c r="L3" s="24" t="inlineStr">
        <is>
          <t>2027-04 日予算</t>
        </is>
      </c>
      <c r="M3" s="24" t="inlineStr">
        <is>
          <t>2026-09 月予算</t>
        </is>
      </c>
      <c r="N3" s="24" t="inlineStr">
        <is>
          <t>2026-10 月予算</t>
        </is>
      </c>
      <c r="O3" s="24" t="inlineStr">
        <is>
          <t>2026-11 月予算</t>
        </is>
      </c>
      <c r="P3" s="24" t="inlineStr">
        <is>
          <t>2026-12 月予算</t>
        </is>
      </c>
      <c r="Q3" s="24" t="inlineStr">
        <is>
          <t>2027-01 月予算</t>
        </is>
      </c>
      <c r="R3" s="24" t="inlineStr">
        <is>
          <t>2027-02 月予算</t>
        </is>
      </c>
      <c r="S3" s="24" t="inlineStr">
        <is>
          <t>2027-03 月予算</t>
        </is>
      </c>
      <c r="T3" s="24" t="inlineStr">
        <is>
          <t>2027-04 月予算</t>
        </is>
      </c>
    </row>
    <row r="4">
      <c r="A4" s="18" t="inlineStr">
        <is>
          <t>FULLMARKS</t>
        </is>
      </c>
      <c r="B4" s="18" t="inlineStr">
        <is>
          <t>HOUDINI</t>
        </is>
      </c>
      <c r="C4" s="18" t="inlineStr">
        <is>
          <t>Google</t>
        </is>
      </c>
      <c r="D4" s="18" t="inlineStr">
        <is>
          <t>UC_SK_1_指名_フーディ二</t>
        </is>
      </c>
      <c r="E4" s="20">
        <f>ROUND(M4/30,-2)</f>
        <v/>
      </c>
      <c r="F4" s="20">
        <f>ROUND(N4/31,-2)</f>
        <v/>
      </c>
      <c r="G4" s="20">
        <f>ROUND(O4/30,-2)</f>
        <v/>
      </c>
      <c r="H4" s="20">
        <f>ROUND(P4/31,-2)</f>
        <v/>
      </c>
      <c r="I4" s="20">
        <f>ROUND(Q4/31,-2)</f>
        <v/>
      </c>
      <c r="J4" s="20">
        <f>ROUND(R4/28,-2)</f>
        <v/>
      </c>
      <c r="K4" s="20">
        <f>ROUND(S4/31,-2)</f>
        <v/>
      </c>
      <c r="L4" s="20">
        <f>ROUND(T4/30,-2)</f>
        <v/>
      </c>
      <c r="M4" s="20">
        <f>ROUND(FULLMARKS内訳!B5*0.65,0)</f>
        <v/>
      </c>
      <c r="N4" s="20">
        <f>ROUND(FULLMARKS内訳!C5*0.65,0)</f>
        <v/>
      </c>
      <c r="O4" s="20">
        <f>ROUND(FULLMARKS内訳!D5*0.65,0)</f>
        <v/>
      </c>
      <c r="P4" s="20">
        <f>ROUND(FULLMARKS内訳!E5*0.65,0)</f>
        <v/>
      </c>
      <c r="Q4" s="20">
        <f>ROUND(FULLMARKS内訳!F5*0.65,0)</f>
        <v/>
      </c>
      <c r="R4" s="20">
        <f>ROUND(FULLMARKS内訳!G5*0.65,0)</f>
        <v/>
      </c>
      <c r="S4" s="20">
        <f>ROUND(FULLMARKS内訳!H5*0.65,0)</f>
        <v/>
      </c>
      <c r="T4" s="20">
        <f>ROUND(FULLMARKS内訳!I5*0.65,0)</f>
        <v/>
      </c>
    </row>
    <row r="5">
      <c r="A5" s="18" t="inlineStr">
        <is>
          <t>FULLMARKS</t>
        </is>
      </c>
      <c r="B5" s="18" t="inlineStr">
        <is>
          <t>HOUDINI</t>
        </is>
      </c>
      <c r="C5" s="18" t="inlineStr">
        <is>
          <t>Meta</t>
        </is>
      </c>
      <c r="D5" s="18" t="inlineStr">
        <is>
          <t>UC_DN_3_RTG_フーディニ_2608</t>
        </is>
      </c>
      <c r="E5" s="20">
        <f>ROUND(M5/30,-2)</f>
        <v/>
      </c>
      <c r="F5" s="20">
        <f>ROUND(N5/31,-2)</f>
        <v/>
      </c>
      <c r="G5" s="20">
        <f>ROUND(O5/30,-2)</f>
        <v/>
      </c>
      <c r="H5" s="20">
        <f>ROUND(P5/31,-2)</f>
        <v/>
      </c>
      <c r="I5" s="20">
        <f>ROUND(Q5/31,-2)</f>
        <v/>
      </c>
      <c r="J5" s="20">
        <f>ROUND(R5/28,-2)</f>
        <v/>
      </c>
      <c r="K5" s="20">
        <f>ROUND(S5/31,-2)</f>
        <v/>
      </c>
      <c r="L5" s="20">
        <f>ROUND(T5/30,-2)</f>
        <v/>
      </c>
      <c r="M5" s="20">
        <f>ROUND(FULLMARKS内訳!B5*0.35,0)</f>
        <v/>
      </c>
      <c r="N5" s="20">
        <f>ROUND(FULLMARKS内訳!C5*0.35,0)</f>
        <v/>
      </c>
      <c r="O5" s="20">
        <f>ROUND(FULLMARKS内訳!D5*0.35,0)</f>
        <v/>
      </c>
      <c r="P5" s="20">
        <f>ROUND(FULLMARKS内訳!E5*0.35,0)</f>
        <v/>
      </c>
      <c r="Q5" s="20">
        <f>ROUND(FULLMARKS内訳!F5*0.35,0)</f>
        <v/>
      </c>
      <c r="R5" s="20">
        <f>ROUND(FULLMARKS内訳!G5*0.35,0)</f>
        <v/>
      </c>
      <c r="S5" s="20">
        <f>ROUND(FULLMARKS内訳!H5*0.35,0)</f>
        <v/>
      </c>
      <c r="T5" s="20">
        <f>ROUND(FULLMARKS内訳!I5*0.35,0)</f>
        <v/>
      </c>
    </row>
    <row r="6">
      <c r="A6" s="18" t="inlineStr">
        <is>
          <t>FULLMARKS</t>
        </is>
      </c>
      <c r="B6" s="18" t="inlineStr">
        <is>
          <t>商品連動(ショッピング/カタログ)</t>
        </is>
      </c>
      <c r="C6" s="18" t="inlineStr">
        <is>
          <t>Google</t>
        </is>
      </c>
      <c r="D6" s="18" t="inlineStr">
        <is>
          <t>UC_PL_5_PLA_v2（通常価格のみ）</t>
        </is>
      </c>
      <c r="E6" s="20">
        <f>ROUND(M6/30,-2)</f>
        <v/>
      </c>
      <c r="F6" s="20">
        <f>ROUND(N6/31,-2)</f>
        <v/>
      </c>
      <c r="G6" s="20">
        <f>ROUND(O6/30,-2)</f>
        <v/>
      </c>
      <c r="H6" s="20">
        <f>ROUND(P6/31,-2)</f>
        <v/>
      </c>
      <c r="I6" s="20">
        <f>ROUND(Q6/31,-2)</f>
        <v/>
      </c>
      <c r="J6" s="20">
        <f>ROUND(R6/28,-2)</f>
        <v/>
      </c>
      <c r="K6" s="20">
        <f>ROUND(S6/31,-2)</f>
        <v/>
      </c>
      <c r="L6" s="20">
        <f>ROUND(T6/30,-2)</f>
        <v/>
      </c>
      <c r="M6" s="20">
        <f>ROUND(FULLMARKS内訳!B6*0.45,0)</f>
        <v/>
      </c>
      <c r="N6" s="20">
        <f>ROUND(FULLMARKS内訳!C6*0.45,0)</f>
        <v/>
      </c>
      <c r="O6" s="20">
        <f>ROUND(FULLMARKS内訳!D6*0.45,0)</f>
        <v/>
      </c>
      <c r="P6" s="20">
        <f>ROUND(FULLMARKS内訳!E6*0.45,0)</f>
        <v/>
      </c>
      <c r="Q6" s="20">
        <f>ROUND(FULLMARKS内訳!F6*0.45,0)</f>
        <v/>
      </c>
      <c r="R6" s="20">
        <f>ROUND(FULLMARKS内訳!G6*0.45,0)</f>
        <v/>
      </c>
      <c r="S6" s="20">
        <f>ROUND(FULLMARKS内訳!H6*0.45,0)</f>
        <v/>
      </c>
      <c r="T6" s="20">
        <f>ROUND(FULLMARKS内訳!I6*0.45,0)</f>
        <v/>
      </c>
    </row>
    <row r="7">
      <c r="A7" s="18" t="inlineStr">
        <is>
          <t>FULLMARKS</t>
        </is>
      </c>
      <c r="B7" s="18" t="inlineStr">
        <is>
          <t>商品連動(ショッピング/カタログ)</t>
        </is>
      </c>
      <c r="C7" s="18" t="inlineStr">
        <is>
          <t>Meta</t>
        </is>
      </c>
      <c r="D7" s="18" t="inlineStr">
        <is>
          <t>UC_DN_3_CVS_フルマークス（ブランド別9本）</t>
        </is>
      </c>
      <c r="E7" s="20">
        <f>ROUND(M7/30,-2)</f>
        <v/>
      </c>
      <c r="F7" s="20">
        <f>ROUND(N7/31,-2)</f>
        <v/>
      </c>
      <c r="G7" s="20">
        <f>ROUND(O7/30,-2)</f>
        <v/>
      </c>
      <c r="H7" s="20">
        <f>ROUND(P7/31,-2)</f>
        <v/>
      </c>
      <c r="I7" s="20">
        <f>ROUND(Q7/31,-2)</f>
        <v/>
      </c>
      <c r="J7" s="20">
        <f>ROUND(R7/28,-2)</f>
        <v/>
      </c>
      <c r="K7" s="20">
        <f>ROUND(S7/31,-2)</f>
        <v/>
      </c>
      <c r="L7" s="20">
        <f>ROUND(T7/30,-2)</f>
        <v/>
      </c>
      <c r="M7" s="20">
        <f>ROUND(FULLMARKS内訳!B6*0.55,0)</f>
        <v/>
      </c>
      <c r="N7" s="20">
        <f>ROUND(FULLMARKS内訳!C6*0.55,0)</f>
        <v/>
      </c>
      <c r="O7" s="20">
        <f>ROUND(FULLMARKS内訳!D6*0.55,0)</f>
        <v/>
      </c>
      <c r="P7" s="20">
        <f>ROUND(FULLMARKS内訳!E6*0.55,0)</f>
        <v/>
      </c>
      <c r="Q7" s="20">
        <f>ROUND(FULLMARKS内訳!F6*0.55,0)</f>
        <v/>
      </c>
      <c r="R7" s="20">
        <f>ROUND(FULLMARKS内訳!G6*0.55,0)</f>
        <v/>
      </c>
      <c r="S7" s="20">
        <f>ROUND(FULLMARKS内訳!H6*0.55,0)</f>
        <v/>
      </c>
      <c r="T7" s="20">
        <f>ROUND(FULLMARKS内訳!I6*0.55,0)</f>
        <v/>
      </c>
    </row>
    <row r="8">
      <c r="A8" s="18" t="inlineStr">
        <is>
          <t>FULLMARKS</t>
        </is>
      </c>
      <c r="B8" s="18" t="inlineStr">
        <is>
          <t>店舗指名(フルマークス)</t>
        </is>
      </c>
      <c r="C8" s="18" t="inlineStr">
        <is>
          <t>Google</t>
        </is>
      </c>
      <c r="D8" s="18" t="inlineStr">
        <is>
          <t>UC_SK_1_指名_フルマークス</t>
        </is>
      </c>
      <c r="E8" s="20">
        <f>ROUND(M8/30,-2)</f>
        <v/>
      </c>
      <c r="F8" s="20">
        <f>ROUND(N8/31,-2)</f>
        <v/>
      </c>
      <c r="G8" s="20">
        <f>ROUND(O8/30,-2)</f>
        <v/>
      </c>
      <c r="H8" s="20">
        <f>ROUND(P8/31,-2)</f>
        <v/>
      </c>
      <c r="I8" s="20">
        <f>ROUND(Q8/31,-2)</f>
        <v/>
      </c>
      <c r="J8" s="20">
        <f>ROUND(R8/28,-2)</f>
        <v/>
      </c>
      <c r="K8" s="20">
        <f>ROUND(S8/31,-2)</f>
        <v/>
      </c>
      <c r="L8" s="20">
        <f>ROUND(T8/30,-2)</f>
        <v/>
      </c>
      <c r="M8" s="20">
        <f>ROUND(FULLMARKS内訳!B7*1.0,0)</f>
        <v/>
      </c>
      <c r="N8" s="20">
        <f>ROUND(FULLMARKS内訳!C7*1.0,0)</f>
        <v/>
      </c>
      <c r="O8" s="20">
        <f>ROUND(FULLMARKS内訳!D7*1.0,0)</f>
        <v/>
      </c>
      <c r="P8" s="20">
        <f>ROUND(FULLMARKS内訳!E7*1.0,0)</f>
        <v/>
      </c>
      <c r="Q8" s="20">
        <f>ROUND(FULLMARKS内訳!F7*1.0,0)</f>
        <v/>
      </c>
      <c r="R8" s="20">
        <f>ROUND(FULLMARKS内訳!G7*1.0,0)</f>
        <v/>
      </c>
      <c r="S8" s="20">
        <f>ROUND(FULLMARKS内訳!H7*1.0,0)</f>
        <v/>
      </c>
      <c r="T8" s="20">
        <f>ROUND(FULLMARKS内訳!I7*1.0,0)</f>
        <v/>
      </c>
    </row>
    <row r="9">
      <c r="A9" s="18" t="inlineStr">
        <is>
          <t>FULLMARKS</t>
        </is>
      </c>
      <c r="B9" s="18" t="inlineStr">
        <is>
          <t>POC</t>
        </is>
      </c>
      <c r="C9" s="18" t="inlineStr">
        <is>
          <t>Google</t>
        </is>
      </c>
      <c r="D9" s="18" t="inlineStr">
        <is>
          <t>UC_SK_1_指名_ポック</t>
        </is>
      </c>
      <c r="E9" s="20">
        <f>ROUND(M9/30,-2)</f>
        <v/>
      </c>
      <c r="F9" s="20">
        <f>ROUND(N9/31,-2)</f>
        <v/>
      </c>
      <c r="G9" s="20">
        <f>ROUND(O9/30,-2)</f>
        <v/>
      </c>
      <c r="H9" s="20">
        <f>ROUND(P9/31,-2)</f>
        <v/>
      </c>
      <c r="I9" s="20">
        <f>ROUND(Q9/31,-2)</f>
        <v/>
      </c>
      <c r="J9" s="20">
        <f>ROUND(R9/28,-2)</f>
        <v/>
      </c>
      <c r="K9" s="20">
        <f>ROUND(S9/31,-2)</f>
        <v/>
      </c>
      <c r="L9" s="20">
        <f>ROUND(T9/30,-2)</f>
        <v/>
      </c>
      <c r="M9" s="20">
        <f>ROUND(FULLMARKS内訳!B8*0.45,0)</f>
        <v/>
      </c>
      <c r="N9" s="20">
        <f>ROUND(FULLMARKS内訳!C8*0.45,0)</f>
        <v/>
      </c>
      <c r="O9" s="20">
        <f>ROUND(FULLMARKS内訳!D8*0.45,0)</f>
        <v/>
      </c>
      <c r="P9" s="20">
        <f>ROUND(FULLMARKS内訳!E8*0.45,0)</f>
        <v/>
      </c>
      <c r="Q9" s="20">
        <f>ROUND(FULLMARKS内訳!F8*0.45,0)</f>
        <v/>
      </c>
      <c r="R9" s="20">
        <f>ROUND(FULLMARKS内訳!G8*0.45,0)</f>
        <v/>
      </c>
      <c r="S9" s="20">
        <f>ROUND(FULLMARKS内訳!H8*0.45,0)</f>
        <v/>
      </c>
      <c r="T9" s="20">
        <f>ROUND(FULLMARKS内訳!I8*0.45,0)</f>
        <v/>
      </c>
    </row>
    <row r="10">
      <c r="A10" s="18" t="inlineStr">
        <is>
          <t>FULLMARKS</t>
        </is>
      </c>
      <c r="B10" s="18" t="inlineStr">
        <is>
          <t>POC</t>
        </is>
      </c>
      <c r="C10" s="18" t="inlineStr">
        <is>
          <t>Meta</t>
        </is>
      </c>
      <c r="D10" s="18" t="inlineStr">
        <is>
          <t>UC_DN_3_RTG_ポック_2608</t>
        </is>
      </c>
      <c r="E10" s="20">
        <f>ROUND(M10/30,-2)</f>
        <v/>
      </c>
      <c r="F10" s="20">
        <f>ROUND(N10/31,-2)</f>
        <v/>
      </c>
      <c r="G10" s="20">
        <f>ROUND(O10/30,-2)</f>
        <v/>
      </c>
      <c r="H10" s="20">
        <f>ROUND(P10/31,-2)</f>
        <v/>
      </c>
      <c r="I10" s="20">
        <f>ROUND(Q10/31,-2)</f>
        <v/>
      </c>
      <c r="J10" s="20">
        <f>ROUND(R10/28,-2)</f>
        <v/>
      </c>
      <c r="K10" s="20">
        <f>ROUND(S10/31,-2)</f>
        <v/>
      </c>
      <c r="L10" s="20">
        <f>ROUND(T10/30,-2)</f>
        <v/>
      </c>
      <c r="M10" s="20">
        <f>ROUND(FULLMARKS内訳!B8*0.55,0)</f>
        <v/>
      </c>
      <c r="N10" s="20">
        <f>ROUND(FULLMARKS内訳!C8*0.55,0)</f>
        <v/>
      </c>
      <c r="O10" s="20">
        <f>ROUND(FULLMARKS内訳!D8*0.55,0)</f>
        <v/>
      </c>
      <c r="P10" s="20">
        <f>ROUND(FULLMARKS内訳!E8*0.55,0)</f>
        <v/>
      </c>
      <c r="Q10" s="20">
        <f>ROUND(FULLMARKS内訳!F8*0.55,0)</f>
        <v/>
      </c>
      <c r="R10" s="20">
        <f>ROUND(FULLMARKS内訳!G8*0.55,0)</f>
        <v/>
      </c>
      <c r="S10" s="20">
        <f>ROUND(FULLMARKS内訳!H8*0.55,0)</f>
        <v/>
      </c>
      <c r="T10" s="20">
        <f>ROUND(FULLMARKS内訳!I8*0.55,0)</f>
        <v/>
      </c>
    </row>
    <row r="11">
      <c r="A11" s="18" t="inlineStr">
        <is>
          <t>FULLMARKS</t>
        </is>
      </c>
      <c r="B11" s="18" t="inlineStr">
        <is>
          <t>NORRØNA</t>
        </is>
      </c>
      <c r="C11" s="18" t="inlineStr">
        <is>
          <t>Google</t>
        </is>
      </c>
      <c r="D11" s="18" t="inlineStr">
        <is>
          <t>UC_SK_1_指名_ノローナ</t>
        </is>
      </c>
      <c r="E11" s="20">
        <f>ROUND(M11/30,-2)</f>
        <v/>
      </c>
      <c r="F11" s="20">
        <f>ROUND(N11/31,-2)</f>
        <v/>
      </c>
      <c r="G11" s="20">
        <f>ROUND(O11/30,-2)</f>
        <v/>
      </c>
      <c r="H11" s="20">
        <f>ROUND(P11/31,-2)</f>
        <v/>
      </c>
      <c r="I11" s="20">
        <f>ROUND(Q11/31,-2)</f>
        <v/>
      </c>
      <c r="J11" s="20">
        <f>ROUND(R11/28,-2)</f>
        <v/>
      </c>
      <c r="K11" s="20">
        <f>ROUND(S11/31,-2)</f>
        <v/>
      </c>
      <c r="L11" s="20">
        <f>ROUND(T11/30,-2)</f>
        <v/>
      </c>
      <c r="M11" s="20">
        <f>ROUND(FULLMARKS内訳!B9*0.6,0)</f>
        <v/>
      </c>
      <c r="N11" s="20">
        <f>ROUND(FULLMARKS内訳!C9*0.6,0)</f>
        <v/>
      </c>
      <c r="O11" s="20">
        <f>ROUND(FULLMARKS内訳!D9*0.6,0)</f>
        <v/>
      </c>
      <c r="P11" s="20">
        <f>ROUND(FULLMARKS内訳!E9*0.6,0)</f>
        <v/>
      </c>
      <c r="Q11" s="20">
        <f>ROUND(FULLMARKS内訳!F9*0.6,0)</f>
        <v/>
      </c>
      <c r="R11" s="20">
        <f>ROUND(FULLMARKS内訳!G9*0.6,0)</f>
        <v/>
      </c>
      <c r="S11" s="20">
        <f>ROUND(FULLMARKS内訳!H9*0.6,0)</f>
        <v/>
      </c>
      <c r="T11" s="20">
        <f>ROUND(FULLMARKS内訳!I9*0.6,0)</f>
        <v/>
      </c>
    </row>
    <row r="12">
      <c r="A12" s="18" t="inlineStr">
        <is>
          <t>FULLMARKS</t>
        </is>
      </c>
      <c r="B12" s="18" t="inlineStr">
        <is>
          <t>NORRØNA</t>
        </is>
      </c>
      <c r="C12" s="18" t="inlineStr">
        <is>
          <t>Meta</t>
        </is>
      </c>
      <c r="D12" s="18" t="inlineStr">
        <is>
          <t>UC_DN_3_RTG_ノローナ_2608</t>
        </is>
      </c>
      <c r="E12" s="20">
        <f>ROUND(M12/30,-2)</f>
        <v/>
      </c>
      <c r="F12" s="20">
        <f>ROUND(N12/31,-2)</f>
        <v/>
      </c>
      <c r="G12" s="20">
        <f>ROUND(O12/30,-2)</f>
        <v/>
      </c>
      <c r="H12" s="20">
        <f>ROUND(P12/31,-2)</f>
        <v/>
      </c>
      <c r="I12" s="20">
        <f>ROUND(Q12/31,-2)</f>
        <v/>
      </c>
      <c r="J12" s="20">
        <f>ROUND(R12/28,-2)</f>
        <v/>
      </c>
      <c r="K12" s="20">
        <f>ROUND(S12/31,-2)</f>
        <v/>
      </c>
      <c r="L12" s="20">
        <f>ROUND(T12/30,-2)</f>
        <v/>
      </c>
      <c r="M12" s="20">
        <f>ROUND(FULLMARKS内訳!B9*0.4,0)</f>
        <v/>
      </c>
      <c r="N12" s="20">
        <f>ROUND(FULLMARKS内訳!C9*0.4,0)</f>
        <v/>
      </c>
      <c r="O12" s="20">
        <f>ROUND(FULLMARKS内訳!D9*0.4,0)</f>
        <v/>
      </c>
      <c r="P12" s="20">
        <f>ROUND(FULLMARKS内訳!E9*0.4,0)</f>
        <v/>
      </c>
      <c r="Q12" s="20">
        <f>ROUND(FULLMARKS内訳!F9*0.4,0)</f>
        <v/>
      </c>
      <c r="R12" s="20">
        <f>ROUND(FULLMARKS内訳!G9*0.4,0)</f>
        <v/>
      </c>
      <c r="S12" s="20">
        <f>ROUND(FULLMARKS内訳!H9*0.4,0)</f>
        <v/>
      </c>
      <c r="T12" s="20">
        <f>ROUND(FULLMARKS内訳!I9*0.4,0)</f>
        <v/>
      </c>
    </row>
    <row r="13">
      <c r="A13" s="18" t="inlineStr">
        <is>
          <t>FULLMARKS</t>
        </is>
      </c>
      <c r="B13" s="18" t="inlineStr">
        <is>
          <t>ACLIMA</t>
        </is>
      </c>
      <c r="C13" s="18" t="inlineStr">
        <is>
          <t>Meta</t>
        </is>
      </c>
      <c r="D13" s="18" t="inlineStr">
        <is>
          <t>UC_DN_4_CLK_アクリマ</t>
        </is>
      </c>
      <c r="E13" s="20">
        <f>ROUND(M13/30,-2)</f>
        <v/>
      </c>
      <c r="F13" s="20">
        <f>ROUND(N13/31,-2)</f>
        <v/>
      </c>
      <c r="G13" s="20">
        <f>ROUND(O13/30,-2)</f>
        <v/>
      </c>
      <c r="H13" s="20">
        <f>ROUND(P13/31,-2)</f>
        <v/>
      </c>
      <c r="I13" s="20">
        <f>ROUND(Q13/31,-2)</f>
        <v/>
      </c>
      <c r="J13" s="20">
        <f>ROUND(R13/28,-2)</f>
        <v/>
      </c>
      <c r="K13" s="20">
        <f>ROUND(S13/31,-2)</f>
        <v/>
      </c>
      <c r="L13" s="20">
        <f>ROUND(T13/30,-2)</f>
        <v/>
      </c>
      <c r="M13" s="20">
        <f>ROUND(FULLMARKS内訳!B10*0.6,0)</f>
        <v/>
      </c>
      <c r="N13" s="20">
        <f>ROUND(FULLMARKS内訳!C10*0.6,0)</f>
        <v/>
      </c>
      <c r="O13" s="20">
        <f>ROUND(FULLMARKS内訳!D10*0.6,0)</f>
        <v/>
      </c>
      <c r="P13" s="20">
        <f>ROUND(FULLMARKS内訳!E10*0.6,0)</f>
        <v/>
      </c>
      <c r="Q13" s="20">
        <f>ROUND(FULLMARKS内訳!F10*0.6,0)</f>
        <v/>
      </c>
      <c r="R13" s="20">
        <f>ROUND(FULLMARKS内訳!G10*0.6,0)</f>
        <v/>
      </c>
      <c r="S13" s="20">
        <f>ROUND(FULLMARKS内訳!H10*0.6,0)</f>
        <v/>
      </c>
      <c r="T13" s="20">
        <f>ROUND(FULLMARKS内訳!I10*0.6,0)</f>
        <v/>
      </c>
    </row>
    <row r="14">
      <c r="A14" s="18" t="inlineStr">
        <is>
          <t>FULLMARKS</t>
        </is>
      </c>
      <c r="B14" s="18" t="inlineStr">
        <is>
          <t>ACLIMA</t>
        </is>
      </c>
      <c r="C14" s="18" t="inlineStr">
        <is>
          <t>Meta</t>
        </is>
      </c>
      <c r="D14" s="18" t="inlineStr">
        <is>
          <t>UC_DN_3_RTG_アクリマ_2608</t>
        </is>
      </c>
      <c r="E14" s="20">
        <f>ROUND(M14/30,-2)</f>
        <v/>
      </c>
      <c r="F14" s="20">
        <f>ROUND(N14/31,-2)</f>
        <v/>
      </c>
      <c r="G14" s="20">
        <f>ROUND(O14/30,-2)</f>
        <v/>
      </c>
      <c r="H14" s="20">
        <f>ROUND(P14/31,-2)</f>
        <v/>
      </c>
      <c r="I14" s="20">
        <f>ROUND(Q14/31,-2)</f>
        <v/>
      </c>
      <c r="J14" s="20">
        <f>ROUND(R14/28,-2)</f>
        <v/>
      </c>
      <c r="K14" s="20">
        <f>ROUND(S14/31,-2)</f>
        <v/>
      </c>
      <c r="L14" s="20">
        <f>ROUND(T14/30,-2)</f>
        <v/>
      </c>
      <c r="M14" s="20">
        <f>ROUND(FULLMARKS内訳!B10*0.4,0)</f>
        <v/>
      </c>
      <c r="N14" s="20">
        <f>ROUND(FULLMARKS内訳!C10*0.4,0)</f>
        <v/>
      </c>
      <c r="O14" s="20">
        <f>ROUND(FULLMARKS内訳!D10*0.4,0)</f>
        <v/>
      </c>
      <c r="P14" s="20">
        <f>ROUND(FULLMARKS内訳!E10*0.4,0)</f>
        <v/>
      </c>
      <c r="Q14" s="20">
        <f>ROUND(FULLMARKS内訳!F10*0.4,0)</f>
        <v/>
      </c>
      <c r="R14" s="20">
        <f>ROUND(FULLMARKS内訳!G10*0.4,0)</f>
        <v/>
      </c>
      <c r="S14" s="20">
        <f>ROUND(FULLMARKS内訳!H10*0.4,0)</f>
        <v/>
      </c>
      <c r="T14" s="20">
        <f>ROUND(FULLMARKS内訳!I10*0.4,0)</f>
        <v/>
      </c>
    </row>
    <row r="15">
      <c r="A15" s="29" t="inlineStr">
        <is>
          <t>FULLMARKS</t>
        </is>
      </c>
      <c r="B15" s="29" t="inlineStr">
        <is>
          <t>HESTRA【新規】</t>
        </is>
      </c>
      <c r="C15" s="29" t="inlineStr">
        <is>
          <t>Google</t>
        </is>
      </c>
      <c r="D15" s="29" t="inlineStr">
        <is>
          <t>【新設】UC_SK_1_指名_HESTRA</t>
        </is>
      </c>
      <c r="E15" s="30">
        <f>ROUND(M15/30,-2)</f>
        <v/>
      </c>
      <c r="F15" s="30">
        <f>ROUND(N15/31,-2)</f>
        <v/>
      </c>
      <c r="G15" s="30">
        <f>ROUND(O15/30,-2)</f>
        <v/>
      </c>
      <c r="H15" s="30">
        <f>ROUND(P15/31,-2)</f>
        <v/>
      </c>
      <c r="I15" s="30">
        <f>ROUND(Q15/31,-2)</f>
        <v/>
      </c>
      <c r="J15" s="30">
        <f>ROUND(R15/28,-2)</f>
        <v/>
      </c>
      <c r="K15" s="30">
        <f>ROUND(S15/31,-2)</f>
        <v/>
      </c>
      <c r="L15" s="30">
        <f>ROUND(T15/30,-2)</f>
        <v/>
      </c>
      <c r="M15" s="30">
        <f>ROUND(FULLMARKS内訳!B11*1.0,0)</f>
        <v/>
      </c>
      <c r="N15" s="30">
        <f>ROUND(FULLMARKS内訳!C11*1.0,0)</f>
        <v/>
      </c>
      <c r="O15" s="30">
        <f>ROUND(FULLMARKS内訳!D11*1.0,0)</f>
        <v/>
      </c>
      <c r="P15" s="30">
        <f>ROUND(FULLMARKS内訳!E11*1.0,0)</f>
        <v/>
      </c>
      <c r="Q15" s="30">
        <f>ROUND(FULLMARKS内訳!F11*1.0,0)</f>
        <v/>
      </c>
      <c r="R15" s="30">
        <f>ROUND(FULLMARKS内訳!G11*1.0,0)</f>
        <v/>
      </c>
      <c r="S15" s="30">
        <f>ROUND(FULLMARKS内訳!H11*1.0,0)</f>
        <v/>
      </c>
      <c r="T15" s="30">
        <f>ROUND(FULLMARKS内訳!I11*1.0,0)</f>
        <v/>
      </c>
    </row>
    <row r="16">
      <c r="A16" s="29" t="inlineStr">
        <is>
          <t>FULLMARKS</t>
        </is>
      </c>
      <c r="B16" s="29" t="inlineStr">
        <is>
          <t>KANG【新規】</t>
        </is>
      </c>
      <c r="C16" s="29" t="inlineStr">
        <is>
          <t>Google</t>
        </is>
      </c>
      <c r="D16" s="29" t="inlineStr">
        <is>
          <t>【新設】UC_SK_1_指名_KANG</t>
        </is>
      </c>
      <c r="E16" s="30">
        <f>ROUND(M16/30,-2)</f>
        <v/>
      </c>
      <c r="F16" s="30">
        <f>ROUND(N16/31,-2)</f>
        <v/>
      </c>
      <c r="G16" s="30">
        <f>ROUND(O16/30,-2)</f>
        <v/>
      </c>
      <c r="H16" s="30">
        <f>ROUND(P16/31,-2)</f>
        <v/>
      </c>
      <c r="I16" s="30">
        <f>ROUND(Q16/31,-2)</f>
        <v/>
      </c>
      <c r="J16" s="30">
        <f>ROUND(R16/28,-2)</f>
        <v/>
      </c>
      <c r="K16" s="30">
        <f>ROUND(S16/31,-2)</f>
        <v/>
      </c>
      <c r="L16" s="30">
        <f>ROUND(T16/30,-2)</f>
        <v/>
      </c>
      <c r="M16" s="30">
        <f>ROUND(FULLMARKS内訳!B12*1.0,0)</f>
        <v/>
      </c>
      <c r="N16" s="30">
        <f>ROUND(FULLMARKS内訳!C12*1.0,0)</f>
        <v/>
      </c>
      <c r="O16" s="30">
        <f>ROUND(FULLMARKS内訳!D12*1.0,0)</f>
        <v/>
      </c>
      <c r="P16" s="30">
        <f>ROUND(FULLMARKS内訳!E12*1.0,0)</f>
        <v/>
      </c>
      <c r="Q16" s="30">
        <f>ROUND(FULLMARKS内訳!F12*1.0,0)</f>
        <v/>
      </c>
      <c r="R16" s="30">
        <f>ROUND(FULLMARKS内訳!G12*1.0,0)</f>
        <v/>
      </c>
      <c r="S16" s="30">
        <f>ROUND(FULLMARKS内訳!H12*1.0,0)</f>
        <v/>
      </c>
      <c r="T16" s="30">
        <f>ROUND(FULLMARKS内訳!I12*1.0,0)</f>
        <v/>
      </c>
    </row>
    <row r="17">
      <c r="A17" s="29" t="inlineStr">
        <is>
          <t>FULLMARKS</t>
        </is>
      </c>
      <c r="B17" s="29" t="inlineStr">
        <is>
          <t>PLUS ONE WORKS【新規】</t>
        </is>
      </c>
      <c r="C17" s="29" t="inlineStr">
        <is>
          <t>Google</t>
        </is>
      </c>
      <c r="D17" s="29" t="inlineStr">
        <is>
          <t>【新設】UC_SK_1_指名_PLUS ONE WORKS</t>
        </is>
      </c>
      <c r="E17" s="30">
        <f>ROUND(M17/30,-2)</f>
        <v/>
      </c>
      <c r="F17" s="30">
        <f>ROUND(N17/31,-2)</f>
        <v/>
      </c>
      <c r="G17" s="30">
        <f>ROUND(O17/30,-2)</f>
        <v/>
      </c>
      <c r="H17" s="30">
        <f>ROUND(P17/31,-2)</f>
        <v/>
      </c>
      <c r="I17" s="30">
        <f>ROUND(Q17/31,-2)</f>
        <v/>
      </c>
      <c r="J17" s="30">
        <f>ROUND(R17/28,-2)</f>
        <v/>
      </c>
      <c r="K17" s="30">
        <f>ROUND(S17/31,-2)</f>
        <v/>
      </c>
      <c r="L17" s="30">
        <f>ROUND(T17/30,-2)</f>
        <v/>
      </c>
      <c r="M17" s="30">
        <f>ROUND(FULLMARKS内訳!B13*1.0,0)</f>
        <v/>
      </c>
      <c r="N17" s="30">
        <f>ROUND(FULLMARKS内訳!C13*1.0,0)</f>
        <v/>
      </c>
      <c r="O17" s="30">
        <f>ROUND(FULLMARKS内訳!D13*1.0,0)</f>
        <v/>
      </c>
      <c r="P17" s="30">
        <f>ROUND(FULLMARKS内訳!E13*1.0,0)</f>
        <v/>
      </c>
      <c r="Q17" s="30">
        <f>ROUND(FULLMARKS内訳!F13*1.0,0)</f>
        <v/>
      </c>
      <c r="R17" s="30">
        <f>ROUND(FULLMARKS内訳!G13*1.0,0)</f>
        <v/>
      </c>
      <c r="S17" s="30">
        <f>ROUND(FULLMARKS内訳!H13*1.0,0)</f>
        <v/>
      </c>
      <c r="T17" s="30">
        <f>ROUND(FULLMARKS内訳!I13*1.0,0)</f>
        <v/>
      </c>
    </row>
    <row r="18">
      <c r="A18" s="21" t="inlineStr">
        <is>
          <t>合計（通常運用）</t>
        </is>
      </c>
      <c r="B18" s="18" t="n"/>
      <c r="C18" s="18" t="n"/>
      <c r="D18" s="18" t="n"/>
      <c r="E18" s="22">
        <f>SUM(E4:E17)</f>
        <v/>
      </c>
      <c r="F18" s="22">
        <f>SUM(F4:F17)</f>
        <v/>
      </c>
      <c r="G18" s="22">
        <f>SUM(G4:G17)</f>
        <v/>
      </c>
      <c r="H18" s="22">
        <f>SUM(H4:H17)</f>
        <v/>
      </c>
      <c r="I18" s="22">
        <f>SUM(I4:I17)</f>
        <v/>
      </c>
      <c r="J18" s="22">
        <f>SUM(J4:J17)</f>
        <v/>
      </c>
      <c r="K18" s="22">
        <f>SUM(K4:K17)</f>
        <v/>
      </c>
      <c r="L18" s="22">
        <f>SUM(L4:L17)</f>
        <v/>
      </c>
      <c r="M18" s="22">
        <f>SUM(M4:M17)</f>
        <v/>
      </c>
      <c r="N18" s="22">
        <f>SUM(N4:N17)</f>
        <v/>
      </c>
      <c r="O18" s="22">
        <f>SUM(O4:O17)</f>
        <v/>
      </c>
      <c r="P18" s="22">
        <f>SUM(P4:P17)</f>
        <v/>
      </c>
      <c r="Q18" s="22">
        <f>SUM(Q4:Q17)</f>
        <v/>
      </c>
      <c r="R18" s="22">
        <f>SUM(R4:R17)</f>
        <v/>
      </c>
      <c r="S18" s="22">
        <f>SUM(S4:S17)</f>
        <v/>
      </c>
      <c r="T18" s="22">
        <f>SUM(T4:T17)</f>
        <v/>
      </c>
    </row>
    <row r="19">
      <c r="A19" s="21" t="inlineStr">
        <is>
          <t>イベント予備費（別枠）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9">
        <f>月別予算!$I$9</f>
        <v/>
      </c>
      <c r="N19" s="19">
        <f>月別予算!$I$10</f>
        <v/>
      </c>
      <c r="O19" s="19">
        <f>月別予算!$I$11</f>
        <v/>
      </c>
      <c r="P19" s="19">
        <f>月別予算!$I$12</f>
        <v/>
      </c>
      <c r="Q19" s="19">
        <f>月別予算!$I$13</f>
        <v/>
      </c>
      <c r="R19" s="19">
        <f>月別予算!$I$14</f>
        <v/>
      </c>
      <c r="S19" s="19">
        <f>月別予算!$I$15</f>
        <v/>
      </c>
      <c r="T19" s="19">
        <f>月別予算!$I$16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9月 確定実績（キャンペーン別）</t>
        </is>
      </c>
    </row>
    <row r="3">
      <c r="A3" s="24" t="inlineStr">
        <is>
          <t>媒体</t>
        </is>
      </c>
      <c r="B3" s="24" t="inlineStr">
        <is>
          <t>キャンペーン</t>
        </is>
      </c>
      <c r="C3" s="24" t="inlineStr">
        <is>
          <t>9/1〜9/30 費用</t>
        </is>
      </c>
      <c r="D3" s="24" t="inlineStr">
        <is>
          <t>日割</t>
        </is>
      </c>
      <c r="E3" s="24" t="inlineStr">
        <is>
          <t>月換算(30日)</t>
        </is>
      </c>
    </row>
    <row r="4">
      <c r="A4" s="18" t="inlineStr">
        <is>
          <t>Google</t>
        </is>
      </c>
      <c r="B4" s="18" t="inlineStr">
        <is>
          <t>UC_SK_1_指名_フーディ二</t>
        </is>
      </c>
      <c r="C4" s="31" t="n">
        <v>102708</v>
      </c>
      <c r="D4" s="20">
        <f>C4/30</f>
        <v/>
      </c>
      <c r="E4" s="20">
        <f>D4*30</f>
        <v/>
      </c>
    </row>
    <row r="5">
      <c r="A5" s="18" t="inlineStr">
        <is>
          <t>Google</t>
        </is>
      </c>
      <c r="B5" s="18" t="inlineStr">
        <is>
          <t>UC_PL_5_PLA_v2</t>
        </is>
      </c>
      <c r="C5" s="31" t="n">
        <v>89687</v>
      </c>
      <c r="D5" s="20">
        <f>C5/30</f>
        <v/>
      </c>
      <c r="E5" s="20">
        <f>D5*30</f>
        <v/>
      </c>
    </row>
    <row r="6">
      <c r="A6" s="18" t="inlineStr">
        <is>
          <t>Google</t>
        </is>
      </c>
      <c r="B6" s="18" t="inlineStr">
        <is>
          <t>UC_SK_1_指名_フルマークス</t>
        </is>
      </c>
      <c r="C6" s="31" t="n">
        <v>78045</v>
      </c>
      <c r="D6" s="20">
        <f>C6/30</f>
        <v/>
      </c>
      <c r="E6" s="20">
        <f>D6*30</f>
        <v/>
      </c>
    </row>
    <row r="7">
      <c r="A7" s="18" t="inlineStr">
        <is>
          <t>Google</t>
        </is>
      </c>
      <c r="B7" s="18" t="inlineStr">
        <is>
          <t>UC_SK_1_指名_ノローナ</t>
        </is>
      </c>
      <c r="C7" s="31" t="n">
        <v>47834</v>
      </c>
      <c r="D7" s="20">
        <f>C7/30</f>
        <v/>
      </c>
      <c r="E7" s="20">
        <f>D7*30</f>
        <v/>
      </c>
    </row>
    <row r="8">
      <c r="A8" s="18" t="inlineStr">
        <is>
          <t>Google</t>
        </is>
      </c>
      <c r="B8" s="18" t="inlineStr">
        <is>
          <t>UC_SK_1_指名_ポック</t>
        </is>
      </c>
      <c r="C8" s="31" t="n">
        <v>10780</v>
      </c>
      <c r="D8" s="20">
        <f>C8/30</f>
        <v/>
      </c>
      <c r="E8" s="20">
        <f>D8*30</f>
        <v/>
      </c>
    </row>
    <row r="9">
      <c r="A9" s="18" t="inlineStr">
        <is>
          <t>Meta</t>
        </is>
      </c>
      <c r="B9" s="18" t="inlineStr">
        <is>
          <t>UC_DN_3_CVS_フルマークス</t>
        </is>
      </c>
      <c r="C9" s="31" t="n">
        <v>129553</v>
      </c>
      <c r="D9" s="20">
        <f>C9/30</f>
        <v/>
      </c>
      <c r="E9" s="20">
        <f>D9*30</f>
        <v/>
      </c>
    </row>
    <row r="10">
      <c r="A10" s="18" t="inlineStr">
        <is>
          <t>Meta</t>
        </is>
      </c>
      <c r="B10" s="18" t="inlineStr">
        <is>
          <t>UC_DN_3_RTG_フーディニ_2608</t>
        </is>
      </c>
      <c r="C10" s="31" t="n">
        <v>58865</v>
      </c>
      <c r="D10" s="20">
        <f>C10/30</f>
        <v/>
      </c>
      <c r="E10" s="20">
        <f>D10*30</f>
        <v/>
      </c>
    </row>
    <row r="11">
      <c r="A11" s="18" t="inlineStr">
        <is>
          <t>Meta</t>
        </is>
      </c>
      <c r="B11" s="18" t="inlineStr">
        <is>
          <t>UC_DN_4_CLK_アクリマ</t>
        </is>
      </c>
      <c r="C11" s="31" t="n">
        <v>33210</v>
      </c>
      <c r="D11" s="20">
        <f>C11/30</f>
        <v/>
      </c>
      <c r="E11" s="20">
        <f>D11*30</f>
        <v/>
      </c>
    </row>
    <row r="12">
      <c r="A12" s="18" t="inlineStr">
        <is>
          <t>Meta</t>
        </is>
      </c>
      <c r="B12" s="18" t="inlineStr">
        <is>
          <t>UC_DN_3_RTG_ポック_2608</t>
        </is>
      </c>
      <c r="C12" s="31" t="n">
        <v>29286</v>
      </c>
      <c r="D12" s="20">
        <f>C12/30</f>
        <v/>
      </c>
      <c r="E12" s="20">
        <f>D12*30</f>
        <v/>
      </c>
    </row>
    <row r="13">
      <c r="A13" s="18" t="inlineStr">
        <is>
          <t>Meta</t>
        </is>
      </c>
      <c r="B13" s="18" t="inlineStr">
        <is>
          <t>UC_DN_3_RTG_ノローナ_2608</t>
        </is>
      </c>
      <c r="C13" s="31" t="n">
        <v>29093</v>
      </c>
      <c r="D13" s="20">
        <f>C13/30</f>
        <v/>
      </c>
      <c r="E13" s="20">
        <f>D13*30</f>
        <v/>
      </c>
    </row>
    <row r="14">
      <c r="A14" s="18" t="inlineStr">
        <is>
          <t>Meta</t>
        </is>
      </c>
      <c r="B14" s="18" t="inlineStr">
        <is>
          <t>UC_DN_3_RTG_アクリマ_2608</t>
        </is>
      </c>
      <c r="C14" s="31" t="n">
        <v>27751</v>
      </c>
      <c r="D14" s="20">
        <f>C14/30</f>
        <v/>
      </c>
      <c r="E14" s="20">
        <f>D14*30</f>
        <v/>
      </c>
    </row>
    <row r="15">
      <c r="A15" s="18" t="inlineStr">
        <is>
          <t>Google/Meta</t>
        </is>
      </c>
      <c r="B15" s="18" t="inlineStr">
        <is>
          <t>アウトレット枠（9/7停止）</t>
        </is>
      </c>
      <c r="C15" s="31" t="n">
        <v>436</v>
      </c>
      <c r="D15" s="20">
        <f>C15/30</f>
        <v/>
      </c>
      <c r="E15" s="20">
        <f>D15*30</f>
        <v/>
      </c>
    </row>
    <row r="16">
      <c r="A16" s="21" t="inlineStr">
        <is>
          <t>合計</t>
        </is>
      </c>
      <c r="B16" s="18" t="n"/>
      <c r="C16" s="22">
        <f>SUM(C4:C15)</f>
        <v/>
      </c>
      <c r="D16" s="22">
        <f>SUM(D4:D15)</f>
        <v/>
      </c>
      <c r="E16" s="22">
        <f>SUM(E4:E15)</f>
        <v/>
      </c>
    </row>
    <row r="17">
      <c r="A17" s="21" t="inlineStr">
        <is>
          <t>9月 通常運用計画</t>
        </is>
      </c>
      <c r="B17" s="18" t="n"/>
      <c r="C17" s="18" t="n"/>
      <c r="D17" s="18" t="n"/>
      <c r="E17" s="20">
        <f>前提!$B$6</f>
        <v/>
      </c>
    </row>
    <row r="18">
      <c r="A18" s="21" t="inlineStr">
        <is>
          <t>差（月換算−計画）</t>
        </is>
      </c>
      <c r="B18" s="18" t="n"/>
      <c r="C18" s="18" t="n"/>
      <c r="D18" s="18" t="n"/>
      <c r="E18" s="20">
        <f>E16-E17</f>
        <v/>
      </c>
    </row>
    <row r="19">
      <c r="A19" s="2" t="inlineStr">
        <is>
          <t>注: 9/4夜〜9/6はMetaカタログ広告、9/23昼〜9/25夕はMeta全広告（利用上限到達）が停止。アウトレット枠は9/7に停止。SW企画（イベント枠）は含まない。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2026-10-14T08:59:10Z</dcterms:created>
  <dcterms:modified xmlns:dcterms="http://purl.org/dc/terms/" xmlns:xsi="http://www.w3.org/2001/XMLSchema-instance" xsi:type="dcterms:W3CDTF">2026-10-14T08:59:11Z</dcterms:modified>
</cp:coreProperties>
</file>