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概要" sheetId="1" state="visible" r:id="rId3"/>
    <sheet name="商品一覧" sheetId="2" state="visible" r:id="rId4"/>
  </sheets>
  <definedNames>
    <definedName function="false" hidden="true" localSheetId="1" name="_xlnm._FilterDatabase" vbProcedure="false">商品一覧!$A$1:$I$724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<sst xmlns="http://schemas.openxmlformats.org/spreadsheetml/2006/main" count="4393" uniqueCount="1488">
  <si>
    <t xml:space="preserve">カタログ広告 冬の入れ替え案（社内確認用）</t>
  </si>
  <si>
    <r>
      <rPr>
        <sz val="10"/>
        <color rgb="FF8A5A00"/>
        <rFont val="WenQuanYi Zen Hei"/>
        <family val="2"/>
      </rPr>
      <t xml:space="preserve">作成 </t>
    </r>
    <r>
      <rPr>
        <sz val="10"/>
        <color rgb="FF8A5A00"/>
        <rFont val="Arial"/>
        <family val="0"/>
        <charset val="1"/>
      </rPr>
      <t xml:space="preserve">2026</t>
    </r>
    <r>
      <rPr>
        <sz val="10"/>
        <color rgb="FF8A5A00"/>
        <rFont val="WenQuanYi Zen Hei"/>
        <family val="2"/>
      </rPr>
      <t xml:space="preserve">年</t>
    </r>
    <r>
      <rPr>
        <sz val="10"/>
        <color rgb="FF8A5A00"/>
        <rFont val="Arial"/>
        <family val="0"/>
        <charset val="1"/>
      </rPr>
      <t xml:space="preserve">10</t>
    </r>
    <r>
      <rPr>
        <sz val="10"/>
        <color rgb="FF8A5A00"/>
        <rFont val="WenQuanYi Zen Hei"/>
        <family val="2"/>
      </rPr>
      <t xml:space="preserve">月</t>
    </r>
    <r>
      <rPr>
        <sz val="10"/>
        <color rgb="FF8A5A00"/>
        <rFont val="Arial"/>
        <family val="0"/>
        <charset val="1"/>
      </rPr>
      <t xml:space="preserve">18</t>
    </r>
    <r>
      <rPr>
        <sz val="10"/>
        <color rgb="FF8A5A00"/>
        <rFont val="WenQuanYi Zen Hei"/>
        <family val="2"/>
      </rPr>
      <t xml:space="preserve">日 ／ 状態</t>
    </r>
    <r>
      <rPr>
        <sz val="10"/>
        <color rgb="FF8A5A00"/>
        <rFont val="Arial"/>
        <family val="0"/>
        <charset val="1"/>
      </rPr>
      <t xml:space="preserve">: </t>
    </r>
    <r>
      <rPr>
        <sz val="10"/>
        <color rgb="FF8A5A00"/>
        <rFont val="WenQuanYi Zen Hei"/>
        <family val="2"/>
      </rPr>
      <t xml:space="preserve">承認待ち（まだ広告には反映していません）</t>
    </r>
  </si>
  <si>
    <t xml:space="preserve">なぜ入れ替えるのか</t>
  </si>
  <si>
    <r>
      <rPr>
        <sz val="10"/>
        <color rgb="FF000000"/>
        <rFont val="Arial"/>
        <family val="0"/>
        <charset val="1"/>
      </rPr>
      <t xml:space="preserve">Instagram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Facebook </t>
    </r>
    <r>
      <rPr>
        <sz val="10"/>
        <color rgb="FF000000"/>
        <rFont val="WenQuanYi Zen Hei"/>
        <family val="2"/>
      </rPr>
      <t xml:space="preserve">の「商品が並ぶ広告」（カタログ広告）に、いまも夏物が出ている。</t>
    </r>
  </si>
  <si>
    <r>
      <rPr>
        <sz val="10"/>
        <color rgb="FF000000"/>
        <rFont val="Arial"/>
        <family val="0"/>
        <charset val="1"/>
      </rPr>
      <t xml:space="preserve">9/26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10/17 </t>
    </r>
    <r>
      <rPr>
        <sz val="10"/>
        <color rgb="FF000000"/>
        <rFont val="WenQuanYi Zen Hei"/>
        <family val="2"/>
      </rPr>
      <t xml:space="preserve">のカタログ広告費 </t>
    </r>
    <r>
      <rPr>
        <sz val="10"/>
        <color rgb="FF000000"/>
        <rFont val="Arial"/>
        <family val="0"/>
        <charset val="1"/>
      </rPr>
      <t xml:space="preserve">76,544</t>
    </r>
    <r>
      <rPr>
        <sz val="10"/>
        <color rgb="FF000000"/>
        <rFont val="WenQuanYi Zen Hei"/>
        <family val="2"/>
      </rPr>
      <t xml:space="preserve">円のうち </t>
    </r>
    <r>
      <rPr>
        <sz val="10"/>
        <color rgb="FF000000"/>
        <rFont val="Arial"/>
        <family val="0"/>
        <charset val="1"/>
      </rPr>
      <t xml:space="preserve">63,776</t>
    </r>
    <r>
      <rPr>
        <sz val="10"/>
        <color rgb="FF000000"/>
        <rFont val="WenQuanYi Zen Hei"/>
        <family val="2"/>
      </rPr>
      <t xml:space="preserve">円（</t>
    </r>
    <r>
      <rPr>
        <sz val="10"/>
        <color rgb="FF000000"/>
        <rFont val="Arial"/>
        <family val="0"/>
        <charset val="1"/>
      </rPr>
      <t xml:space="preserve">83%</t>
    </r>
    <r>
      <rPr>
        <sz val="10"/>
        <color rgb="FF000000"/>
        <rFont val="WenQuanYi Zen Hei"/>
        <family val="2"/>
      </rPr>
      <t xml:space="preserve">）が冬の新作以外に使われた（</t>
    </r>
    <r>
      <rPr>
        <sz val="10"/>
        <color rgb="FF000000"/>
        <rFont val="Arial"/>
        <family val="0"/>
        <charset val="1"/>
      </rPr>
      <t xml:space="preserve">Wadi Pants</t>
    </r>
    <r>
      <rPr>
        <sz val="10"/>
        <color rgb="FF000000"/>
        <rFont val="WenQuanYi Zen Hei"/>
        <family val="2"/>
      </rPr>
      <t xml:space="preserve">・キャップ・自転車用バッグなど）。</t>
    </r>
  </si>
  <si>
    <r>
      <rPr>
        <sz val="10"/>
        <color rgb="FF000000"/>
        <rFont val="WenQuanYi Zen Hei"/>
        <family val="2"/>
      </rPr>
      <t xml:space="preserve">直近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日のカタログ広告は広告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円あたりの売上 </t>
    </r>
    <r>
      <rPr>
        <sz val="10"/>
        <color rgb="FF000000"/>
        <rFont val="Arial"/>
        <family val="0"/>
        <charset val="1"/>
      </rPr>
      <t xml:space="preserve">2.6</t>
    </r>
    <r>
      <rPr>
        <sz val="10"/>
        <color rgb="FF000000"/>
        <rFont val="WenQuanYi Zen Hei"/>
        <family val="2"/>
      </rPr>
      <t xml:space="preserve">円で、</t>
    </r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WenQuanYi Zen Hei"/>
        <family val="2"/>
      </rPr>
      <t xml:space="preserve">広告の中でいちばん低い。</t>
    </r>
  </si>
  <si>
    <t xml:space="preserve">何が変わるか（在庫ありの商品数。商品一覧シートから自動で数えます）</t>
  </si>
  <si>
    <t xml:space="preserve">広告</t>
  </si>
  <si>
    <t xml:space="preserve">入れ替え前</t>
  </si>
  <si>
    <t xml:space="preserve">入れ替え後</t>
  </si>
  <si>
    <t xml:space="preserve">うち新作</t>
  </si>
  <si>
    <t xml:space="preserve">うち定番の冬物</t>
  </si>
  <si>
    <t xml:space="preserve">夏物を外しただけ</t>
  </si>
  <si>
    <t xml:space="preserve">出なくなる</t>
  </si>
  <si>
    <t xml:space="preserve">HOUDINI</t>
  </si>
  <si>
    <t xml:space="preserve">ACLIMA</t>
  </si>
  <si>
    <t xml:space="preserve">POC</t>
  </si>
  <si>
    <r>
      <rPr>
        <sz val="10"/>
        <color rgb="FF000000"/>
        <rFont val="Arial"/>
        <family val="0"/>
        <charset val="1"/>
      </rPr>
      <t xml:space="preserve">NORRØNA </t>
    </r>
    <r>
      <rPr>
        <sz val="10"/>
        <color rgb="FF000000"/>
        <rFont val="WenQuanYi Zen Hei"/>
        <family val="2"/>
      </rPr>
      <t xml:space="preserve">新作</t>
    </r>
  </si>
  <si>
    <t xml:space="preserve">NORRØNA falketind</t>
  </si>
  <si>
    <t xml:space="preserve">NORRØNA femund</t>
  </si>
  <si>
    <t xml:space="preserve">NORRØNA lofoten</t>
  </si>
  <si>
    <t xml:space="preserve">NORRØNA trollveggen</t>
  </si>
  <si>
    <t xml:space="preserve">HESTRA</t>
  </si>
  <si>
    <t xml:space="preserve">合計</t>
  </si>
  <si>
    <r>
      <rPr>
        <sz val="9"/>
        <color rgb="FF595959"/>
        <rFont val="WenQuanYi Zen Hei"/>
        <family val="2"/>
      </rPr>
      <t xml:space="preserve">入れ替え前 </t>
    </r>
    <r>
      <rPr>
        <sz val="9"/>
        <color rgb="FF595959"/>
        <rFont val="Arial"/>
        <family val="0"/>
        <charset val="1"/>
      </rPr>
      <t xml:space="preserve">= </t>
    </r>
    <r>
      <rPr>
        <sz val="9"/>
        <color rgb="FF595959"/>
        <rFont val="WenQuanYi Zen Hei"/>
        <family val="2"/>
      </rPr>
      <t xml:space="preserve">いま広告に載っている在庫ありの商品数（新しく入荷して加わる商品の数を差し引いて計算）。</t>
    </r>
  </si>
  <si>
    <r>
      <rPr>
        <sz val="9"/>
        <color rgb="FF595959"/>
        <rFont val="WenQuanYi Zen Hei"/>
        <family val="2"/>
      </rPr>
      <t xml:space="preserve">新作 </t>
    </r>
    <r>
      <rPr>
        <sz val="9"/>
        <color rgb="FF595959"/>
        <rFont val="Arial"/>
        <family val="0"/>
        <charset val="1"/>
      </rPr>
      <t xml:space="preserve">= </t>
    </r>
    <r>
      <rPr>
        <sz val="9"/>
        <color rgb="FF595959"/>
        <rFont val="WenQuanYi Zen Hei"/>
        <family val="2"/>
      </rPr>
      <t xml:space="preserve">サイトの </t>
    </r>
    <r>
      <rPr>
        <sz val="9"/>
        <color rgb="FF595959"/>
        <rFont val="Arial"/>
        <family val="0"/>
        <charset val="1"/>
      </rPr>
      <t xml:space="preserve">2026FW </t>
    </r>
    <r>
      <rPr>
        <sz val="9"/>
        <color rgb="FF595959"/>
        <rFont val="WenQuanYi Zen Hei"/>
        <family val="2"/>
      </rPr>
      <t xml:space="preserve">新作カテゴリ（</t>
    </r>
    <r>
      <rPr>
        <sz val="9"/>
        <color rgb="FF595959"/>
        <rFont val="Arial"/>
        <family val="0"/>
        <charset val="1"/>
      </rPr>
      <t xml:space="preserve">POC </t>
    </r>
    <r>
      <rPr>
        <sz val="9"/>
        <color rgb="FF595959"/>
        <rFont val="WenQuanYi Zen Hei"/>
        <family val="2"/>
      </rPr>
      <t xml:space="preserve">はスノーカテゴリ）。定番の冬物 </t>
    </r>
    <r>
      <rPr>
        <sz val="9"/>
        <color rgb="FF595959"/>
        <rFont val="Arial"/>
        <family val="0"/>
        <charset val="1"/>
      </rPr>
      <t xml:space="preserve">= </t>
    </r>
    <r>
      <rPr>
        <sz val="9"/>
        <color rgb="FF595959"/>
        <rFont val="WenQuanYi Zen Hei"/>
        <family val="2"/>
      </rPr>
      <t xml:space="preserve">新作ではないが冬に売る商品（ダウン・中わた・フリース・ウールなど）。</t>
    </r>
  </si>
  <si>
    <r>
      <rPr>
        <sz val="9"/>
        <color rgb="FF595959"/>
        <rFont val="Arial"/>
        <family val="0"/>
        <charset val="1"/>
      </rPr>
      <t xml:space="preserve">NORRØNA </t>
    </r>
    <r>
      <rPr>
        <sz val="9"/>
        <color rgb="FF595959"/>
        <rFont val="WenQuanYi Zen Hei"/>
        <family val="2"/>
      </rPr>
      <t xml:space="preserve">の各シリーズと </t>
    </r>
    <r>
      <rPr>
        <sz val="9"/>
        <color rgb="FF595959"/>
        <rFont val="Arial"/>
        <family val="0"/>
        <charset val="1"/>
      </rPr>
      <t xml:space="preserve">HESTRA </t>
    </r>
    <r>
      <rPr>
        <sz val="9"/>
        <color rgb="FF595959"/>
        <rFont val="WenQuanYi Zen Hei"/>
        <family val="2"/>
      </rPr>
      <t xml:space="preserve">は、ショーツ・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WenQuanYi Zen Hei"/>
        <family val="2"/>
      </rPr>
      <t xml:space="preserve">シャツ・スカートなどの夏物を外すだけ。</t>
    </r>
  </si>
  <si>
    <r>
      <rPr>
        <sz val="9"/>
        <color rgb="FF595959"/>
        <rFont val="Arial"/>
        <family val="0"/>
        <charset val="1"/>
      </rPr>
      <t xml:space="preserve">NORRØNA </t>
    </r>
    <r>
      <rPr>
        <sz val="9"/>
        <color rgb="FF595959"/>
        <rFont val="WenQuanYi Zen Hei"/>
        <family val="2"/>
      </rPr>
      <t xml:space="preserve">新作 は新しく作る広告で、</t>
    </r>
    <r>
      <rPr>
        <sz val="9"/>
        <color rgb="FF595959"/>
        <rFont val="Arial"/>
        <family val="0"/>
        <charset val="1"/>
      </rPr>
      <t xml:space="preserve">NORRØNA senja</t>
    </r>
    <r>
      <rPr>
        <sz val="9"/>
        <color rgb="FF595959"/>
        <rFont val="WenQuanYi Zen Hei"/>
        <family val="2"/>
      </rPr>
      <t xml:space="preserve">（トレラン）の広告と置き換える。</t>
    </r>
  </si>
  <si>
    <t xml:space="preserve">変わらないこと</t>
  </si>
  <si>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日の予算 </t>
    </r>
    <r>
      <rPr>
        <sz val="10"/>
        <color rgb="FF000000"/>
        <rFont val="Arial"/>
        <family val="0"/>
        <charset val="1"/>
      </rPr>
      <t xml:space="preserve">7,000</t>
    </r>
    <r>
      <rPr>
        <sz val="10"/>
        <color rgb="FF000000"/>
        <rFont val="WenQuanYi Zen Hei"/>
        <family val="2"/>
      </rPr>
      <t xml:space="preserve">円</t>
    </r>
  </si>
  <si>
    <t xml:space="preserve">・見せる相手（全員向け）</t>
  </si>
  <si>
    <r>
      <rPr>
        <sz val="10"/>
        <color rgb="FF000000"/>
        <rFont val="WenQuanYi Zen Hei"/>
        <family val="2"/>
      </rPr>
      <t xml:space="preserve">・広告の文言「ブランド｜</t>
    </r>
    <r>
      <rPr>
        <sz val="10"/>
        <color rgb="FF000000"/>
        <rFont val="Arial"/>
        <family val="0"/>
        <charset val="1"/>
      </rPr>
      <t xml:space="preserve">Fall / Winter 2026</t>
    </r>
    <r>
      <rPr>
        <sz val="10"/>
        <color rgb="FF000000"/>
        <rFont val="WenQuanYi Zen Hei"/>
        <family val="2"/>
      </rPr>
      <t xml:space="preserve">」</t>
    </r>
  </si>
  <si>
    <t xml:space="preserve">・アウトレット品は出さない</t>
  </si>
  <si>
    <t xml:space="preserve">反映のしかた</t>
  </si>
  <si>
    <t xml:space="preserve">・今の広告は止めずに、中の商品だけ入れ替える（審査なし）。</t>
  </si>
  <si>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NORRØNA </t>
    </r>
    <r>
      <rPr>
        <sz val="10"/>
        <color rgb="FF000000"/>
        <rFont val="WenQuanYi Zen Hei"/>
        <family val="2"/>
      </rPr>
      <t xml:space="preserve">新作の広告だけ新しく作る（審査あり）。</t>
    </r>
  </si>
  <si>
    <t xml:space="preserve">・毎週月曜の更新で、新しく入荷した新作も自動で加わる。</t>
  </si>
  <si>
    <t xml:space="preserve">気をつけること</t>
  </si>
  <si>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HOUDINI </t>
    </r>
    <r>
      <rPr>
        <sz val="10"/>
        <color rgb="FF000000"/>
        <rFont val="WenQuanYi Zen Hei"/>
        <family val="2"/>
      </rPr>
      <t xml:space="preserve">は今月このカタログ広告で</t>
    </r>
    <r>
      <rPr>
        <sz val="10"/>
        <color rgb="FF000000"/>
        <rFont val="Arial"/>
        <family val="0"/>
        <charset val="1"/>
      </rPr>
      <t xml:space="preserve">15</t>
    </r>
    <r>
      <rPr>
        <sz val="10"/>
        <color rgb="FF000000"/>
        <rFont val="WenQuanYi Zen Hei"/>
        <family val="2"/>
      </rPr>
      <t xml:space="preserve">件売れている一番の柱。商品を絞るので売れ方が変わる可能性がある。</t>
    </r>
  </si>
  <si>
    <t xml:space="preserve">いつ判断するか</t>
  </si>
  <si>
    <r>
      <rPr>
        <sz val="10"/>
        <color rgb="FF000000"/>
        <rFont val="WenQuanYi Zen Hei"/>
        <family val="2"/>
      </rPr>
      <t xml:space="preserve">・反映から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週間後（</t>
    </r>
    <r>
      <rPr>
        <sz val="10"/>
        <color rgb="FF000000"/>
        <rFont val="Arial"/>
        <family val="0"/>
        <charset val="1"/>
      </rPr>
      <t xml:space="preserve">10/26</t>
    </r>
    <r>
      <rPr>
        <sz val="10"/>
        <color rgb="FF000000"/>
        <rFont val="WenQuanYi Zen Hei"/>
        <family val="2"/>
      </rPr>
      <t xml:space="preserve">ごろ）に、前の週と購入件数・売上を比べる。</t>
    </r>
  </si>
  <si>
    <t xml:space="preserve">確認のお願い</t>
  </si>
  <si>
    <r>
      <rPr>
        <sz val="10"/>
        <color rgb="FF000000"/>
        <rFont val="WenQuanYi Zen Hei"/>
        <family val="2"/>
      </rPr>
      <t xml:space="preserve">・「商品一覧」シートの「確認」欄（黄色）で、出る商品は「</t>
    </r>
    <r>
      <rPr>
        <sz val="10"/>
        <color rgb="FF000000"/>
        <rFont val="Arial"/>
        <family val="0"/>
        <charset val="1"/>
      </rPr>
      <t xml:space="preserve">OK</t>
    </r>
    <r>
      <rPr>
        <sz val="10"/>
        <color rgb="FF000000"/>
        <rFont val="WenQuanYi Zen Hei"/>
        <family val="2"/>
      </rPr>
      <t xml:space="preserve">／外したい」、出なくなる商品で残したいものは「残したい」を選ぶ。</t>
    </r>
  </si>
  <si>
    <t xml:space="preserve">・理由があれば「コメント」欄へ。広告・区分・入れ替え後の列で絞り込めます。商品ページ列の「開く」でサイトの商品ページが開きます。</t>
  </si>
  <si>
    <r>
      <rPr>
        <sz val="10"/>
        <color rgb="FF000000"/>
        <rFont val="WenQuanYi Zen Hei"/>
        <family val="2"/>
      </rPr>
      <t xml:space="preserve">・記入例</t>
    </r>
    <r>
      <rPr>
        <sz val="10"/>
        <color rgb="FF000000"/>
        <rFont val="Arial"/>
        <family val="0"/>
        <charset val="1"/>
      </rPr>
      <t xml:space="preserve">: Ms Wadi Pants</t>
    </r>
    <r>
      <rPr>
        <sz val="10"/>
        <color rgb="FF000000"/>
        <rFont val="WenQuanYi Zen Hei"/>
        <family val="2"/>
      </rPr>
      <t xml:space="preserve">（出なくなる）→ 確認「残したい」、コメント「秋口まで売れているので残したい」</t>
    </r>
  </si>
  <si>
    <r>
      <rPr>
        <sz val="9"/>
        <color rgb="FF595959"/>
        <rFont val="WenQuanYi Zen Hei"/>
        <family val="2"/>
      </rPr>
      <t xml:space="preserve">集計</t>
    </r>
    <r>
      <rPr>
        <sz val="9"/>
        <color rgb="FF595959"/>
        <rFont val="Arial"/>
        <family val="0"/>
        <charset val="1"/>
      </rPr>
      <t xml:space="preserve">: Meta </t>
    </r>
    <r>
      <rPr>
        <sz val="9"/>
        <color rgb="FF595959"/>
        <rFont val="WenQuanYi Zen Hei"/>
        <family val="2"/>
      </rPr>
      <t xml:space="preserve">広告（</t>
    </r>
    <r>
      <rPr>
        <sz val="9"/>
        <color rgb="FF595959"/>
        <rFont val="Arial"/>
        <family val="0"/>
        <charset val="1"/>
      </rPr>
      <t xml:space="preserve">9/26</t>
    </r>
    <r>
      <rPr>
        <sz val="9"/>
        <color rgb="FF595959"/>
        <rFont val="WenQuanYi Zen Hei"/>
        <family val="2"/>
      </rPr>
      <t xml:space="preserve">〜</t>
    </r>
    <r>
      <rPr>
        <sz val="9"/>
        <color rgb="FF595959"/>
        <rFont val="Arial"/>
        <family val="0"/>
        <charset val="1"/>
      </rPr>
      <t xml:space="preserve">10/17</t>
    </r>
    <r>
      <rPr>
        <sz val="9"/>
        <color rgb="FF595959"/>
        <rFont val="WenQuanYi Zen Hei"/>
        <family val="2"/>
      </rPr>
      <t xml:space="preserve">）、在庫・商品名・価格はサイトの商品フィード（作成日時点、税込）。作成</t>
    </r>
    <r>
      <rPr>
        <sz val="9"/>
        <color rgb="FF595959"/>
        <rFont val="Arial"/>
        <family val="0"/>
        <charset val="1"/>
      </rPr>
      <t xml:space="preserve">: scripts/catalog_season_diff.py</t>
    </r>
  </si>
  <si>
    <t xml:space="preserve">区分</t>
  </si>
  <si>
    <t xml:space="preserve">商品名</t>
  </si>
  <si>
    <t xml:space="preserve">価格（税込）</t>
  </si>
  <si>
    <r>
      <rPr>
        <b val="true"/>
        <sz val="10"/>
        <color rgb="FFFFFFFF"/>
        <rFont val="WenQuanYi Zen Hei"/>
        <family val="2"/>
      </rPr>
      <t xml:space="preserve">商品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</si>
  <si>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商品ページ</t>
  </si>
  <si>
    <t xml:space="preserve">確認</t>
  </si>
  <si>
    <t xml:space="preserve">コメント</t>
  </si>
  <si>
    <t xml:space="preserve">新作</t>
  </si>
  <si>
    <t xml:space="preserve">出る</t>
  </si>
  <si>
    <t xml:space="preserve">Ms Alpine Tech Houdi</t>
  </si>
  <si>
    <t xml:space="preserve">1308100790</t>
  </si>
  <si>
    <t xml:space="preserve">開く</t>
  </si>
  <si>
    <t xml:space="preserve">Ms Alpine Tech Pants</t>
  </si>
  <si>
    <t xml:space="preserve">1308400960</t>
  </si>
  <si>
    <t xml:space="preserve">Ms Core Tech Houdi</t>
  </si>
  <si>
    <t xml:space="preserve">1308100830</t>
  </si>
  <si>
    <t xml:space="preserve">Ms Core Tech Pants</t>
  </si>
  <si>
    <t xml:space="preserve">1308600890</t>
  </si>
  <si>
    <t xml:space="preserve">Ms Drop Knee Power Tights II</t>
  </si>
  <si>
    <t xml:space="preserve">1308400910</t>
  </si>
  <si>
    <t xml:space="preserve">Ms Liquid Chore Pants</t>
  </si>
  <si>
    <t xml:space="preserve">1308600610</t>
  </si>
  <si>
    <t xml:space="preserve">Ms Long Power Tights II</t>
  </si>
  <si>
    <t xml:space="preserve">1308400890</t>
  </si>
  <si>
    <t xml:space="preserve">Ms Lykan Full Zip</t>
  </si>
  <si>
    <t xml:space="preserve">1308300750</t>
  </si>
  <si>
    <t xml:space="preserve">Ms Lykan Vest</t>
  </si>
  <si>
    <t xml:space="preserve">1308300730</t>
  </si>
  <si>
    <t xml:space="preserve">Ms Moonwalk Houdi II</t>
  </si>
  <si>
    <t xml:space="preserve">1308300850</t>
  </si>
  <si>
    <t xml:space="preserve">Ms Nomad Tech Pants</t>
  </si>
  <si>
    <t xml:space="preserve">1308600870</t>
  </si>
  <si>
    <t xml:space="preserve">Ms Puremerino Crew</t>
  </si>
  <si>
    <t xml:space="preserve">1308400810</t>
  </si>
  <si>
    <t xml:space="preserve">Ms Puremerino Half Zip</t>
  </si>
  <si>
    <t xml:space="preserve">1308400830</t>
  </si>
  <si>
    <t xml:space="preserve">Ms Puremerino Tights</t>
  </si>
  <si>
    <t xml:space="preserve">1308400850</t>
  </si>
  <si>
    <t xml:space="preserve">Ms Ride Jacket II</t>
  </si>
  <si>
    <t xml:space="preserve">1308100720</t>
  </si>
  <si>
    <t xml:space="preserve">Ms Ride Pants II</t>
  </si>
  <si>
    <t xml:space="preserve">1308100740</t>
  </si>
  <si>
    <t xml:space="preserve">Ms Rollercoaster Bib Pants II</t>
  </si>
  <si>
    <t xml:space="preserve">1308100700</t>
  </si>
  <si>
    <t xml:space="preserve">Ms Rollercoaster Jacket II</t>
  </si>
  <si>
    <t xml:space="preserve">1308100680</t>
  </si>
  <si>
    <t xml:space="preserve">Ms Tech Insulation Houdi</t>
  </si>
  <si>
    <t xml:space="preserve">1308200420</t>
  </si>
  <si>
    <t xml:space="preserve">Puremerino Hat</t>
  </si>
  <si>
    <t xml:space="preserve">1308500550</t>
  </si>
  <si>
    <t xml:space="preserve">Puremerino Headband</t>
  </si>
  <si>
    <t xml:space="preserve">1308500560</t>
  </si>
  <si>
    <t xml:space="preserve">Ws Core Tech Pants</t>
  </si>
  <si>
    <t xml:space="preserve">1308600900</t>
  </si>
  <si>
    <t xml:space="preserve">Ws Corespun Chore Pants II</t>
  </si>
  <si>
    <t xml:space="preserve">1308600930</t>
  </si>
  <si>
    <t xml:space="preserve">Ws Drop Knee Power Tights II</t>
  </si>
  <si>
    <t xml:space="preserve">1308400920</t>
  </si>
  <si>
    <t xml:space="preserve">Ws Liquid Chore Pants</t>
  </si>
  <si>
    <t xml:space="preserve">1308600620</t>
  </si>
  <si>
    <t xml:space="preserve">Ws Long Power Tights II</t>
  </si>
  <si>
    <t xml:space="preserve">1308400900</t>
  </si>
  <si>
    <t xml:space="preserve">Ws Lykan Full Zip</t>
  </si>
  <si>
    <t xml:space="preserve">1308300760</t>
  </si>
  <si>
    <t xml:space="preserve">Ws Moonwalk Houdi II</t>
  </si>
  <si>
    <t xml:space="preserve">1308300840</t>
  </si>
  <si>
    <t xml:space="preserve">Ws Puremerino Crew</t>
  </si>
  <si>
    <t xml:space="preserve">1308400820</t>
  </si>
  <si>
    <t xml:space="preserve">Ws Puremerino Tights</t>
  </si>
  <si>
    <t xml:space="preserve">1308400860</t>
  </si>
  <si>
    <t xml:space="preserve">Ws Ride Jacket II</t>
  </si>
  <si>
    <t xml:space="preserve">1308100730</t>
  </si>
  <si>
    <t xml:space="preserve">Ws Ride Pants II</t>
  </si>
  <si>
    <t xml:space="preserve">1308100750</t>
  </si>
  <si>
    <t xml:space="preserve">Ws Rollercoaster Jacket II</t>
  </si>
  <si>
    <t xml:space="preserve">1308100690</t>
  </si>
  <si>
    <t xml:space="preserve">Ws Tech Insulation Houdi</t>
  </si>
  <si>
    <t xml:space="preserve">1308200410</t>
  </si>
  <si>
    <t xml:space="preserve">定番の冬物</t>
  </si>
  <si>
    <t xml:space="preserve">Activist Balaclava</t>
  </si>
  <si>
    <t xml:space="preserve">1303382240</t>
  </si>
  <si>
    <t xml:space="preserve">Activist Neck Gaiter</t>
  </si>
  <si>
    <t xml:space="preserve">1303303540</t>
  </si>
  <si>
    <t xml:space="preserve">Alto Hat</t>
  </si>
  <si>
    <t xml:space="preserve">1303702940</t>
  </si>
  <si>
    <t xml:space="preserve">Desoli Thermal Balaclava</t>
  </si>
  <si>
    <t xml:space="preserve">1308500310</t>
  </si>
  <si>
    <t xml:space="preserve">Desoli Thermal Hat</t>
  </si>
  <si>
    <t xml:space="preserve">1308500060</t>
  </si>
  <si>
    <t xml:space="preserve">Lykan Neck Gaiter</t>
  </si>
  <si>
    <t xml:space="preserve">1308500380</t>
  </si>
  <si>
    <t xml:space="preserve">Moonwalk Headband</t>
  </si>
  <si>
    <t xml:space="preserve">1308500330</t>
  </si>
  <si>
    <t xml:space="preserve">Ms Activist Turtleneck</t>
  </si>
  <si>
    <t xml:space="preserve">1302300540</t>
  </si>
  <si>
    <t xml:space="preserve">Ms Alto Half Zip</t>
  </si>
  <si>
    <t xml:space="preserve">1302202340</t>
  </si>
  <si>
    <t xml:space="preserve">Ms Alto Pants</t>
  </si>
  <si>
    <t xml:space="preserve">1308400310</t>
  </si>
  <si>
    <t xml:space="preserve">Ms Alto Wool Crew</t>
  </si>
  <si>
    <t xml:space="preserve">1308300350</t>
  </si>
  <si>
    <t xml:space="preserve">Ms BFF Jacket II</t>
  </si>
  <si>
    <t xml:space="preserve">1308100370</t>
  </si>
  <si>
    <t xml:space="preserve">Ms BFF Pants II</t>
  </si>
  <si>
    <t xml:space="preserve">1308100490</t>
  </si>
  <si>
    <t xml:space="preserve">Ms Boxer Houdi</t>
  </si>
  <si>
    <t xml:space="preserve">1308300570</t>
  </si>
  <si>
    <t xml:space="preserve">Ms Double Dunfri</t>
  </si>
  <si>
    <t xml:space="preserve">1308200160</t>
  </si>
  <si>
    <t xml:space="preserve">Ms Dunfri</t>
  </si>
  <si>
    <t xml:space="preserve">1308200070</t>
  </si>
  <si>
    <t xml:space="preserve">Ms Dunfri Parka</t>
  </si>
  <si>
    <t xml:space="preserve">1308200270</t>
  </si>
  <si>
    <t xml:space="preserve">Ms Dunfri Vest</t>
  </si>
  <si>
    <t xml:space="preserve">1308200240</t>
  </si>
  <si>
    <t xml:space="preserve">Ms Enfold Jacket</t>
  </si>
  <si>
    <t xml:space="preserve">1302087940</t>
  </si>
  <si>
    <t xml:space="preserve">Ms Lykan Crew</t>
  </si>
  <si>
    <t xml:space="preserve">1308300610</t>
  </si>
  <si>
    <t xml:space="preserve">Ms Lykan Half Zip</t>
  </si>
  <si>
    <t xml:space="preserve">1308300650</t>
  </si>
  <si>
    <t xml:space="preserve">Ms Moonwalk Vest</t>
  </si>
  <si>
    <t xml:space="preserve">1308300320</t>
  </si>
  <si>
    <t xml:space="preserve">Ms One Parka II</t>
  </si>
  <si>
    <t xml:space="preserve">1308100390</t>
  </si>
  <si>
    <t xml:space="preserve">Ms Pace Flow Half Zip</t>
  </si>
  <si>
    <t xml:space="preserve">1308300470</t>
  </si>
  <si>
    <t xml:space="preserve">Ms Pace Flow Houdi</t>
  </si>
  <si>
    <t xml:space="preserve">1308300110</t>
  </si>
  <si>
    <t xml:space="preserve">Ms Power Houdi</t>
  </si>
  <si>
    <t xml:space="preserve">1308300630</t>
  </si>
  <si>
    <t xml:space="preserve">Ms Power Up Houdi</t>
  </si>
  <si>
    <t xml:space="preserve">1308300190</t>
  </si>
  <si>
    <t xml:space="preserve">Ms Power Up Jacket</t>
  </si>
  <si>
    <t xml:space="preserve">1308300680</t>
  </si>
  <si>
    <t xml:space="preserve">Ms Power Up Light Houdi</t>
  </si>
  <si>
    <t xml:space="preserve">1308300780</t>
  </si>
  <si>
    <t xml:space="preserve">Ms Puff Up Insulated Houdi</t>
  </si>
  <si>
    <t xml:space="preserve">1308100250</t>
  </si>
  <si>
    <t xml:space="preserve">Ms Ride Insulated Jacket</t>
  </si>
  <si>
    <t xml:space="preserve">1308100450</t>
  </si>
  <si>
    <t xml:space="preserve">Ms Ride Insulated Pants</t>
  </si>
  <si>
    <t xml:space="preserve">1308100470</t>
  </si>
  <si>
    <t xml:space="preserve">Pace Flow Balaclava</t>
  </si>
  <si>
    <t xml:space="preserve">1308500320</t>
  </si>
  <si>
    <t xml:space="preserve">Power Hat</t>
  </si>
  <si>
    <t xml:space="preserve">1308500430</t>
  </si>
  <si>
    <t xml:space="preserve">Power Top Hat</t>
  </si>
  <si>
    <t xml:space="preserve">1308500420</t>
  </si>
  <si>
    <t xml:space="preserve">Power Wrist Gaiters</t>
  </si>
  <si>
    <t xml:space="preserve">1308500410</t>
  </si>
  <si>
    <t xml:space="preserve">Ws Activist Turtleneck</t>
  </si>
  <si>
    <t xml:space="preserve">1301300540</t>
  </si>
  <si>
    <t xml:space="preserve">Ws Alto Half Zip</t>
  </si>
  <si>
    <t xml:space="preserve">1301202340</t>
  </si>
  <si>
    <t xml:space="preserve">Ws Alto Wool Crew</t>
  </si>
  <si>
    <t xml:space="preserve">1308300340</t>
  </si>
  <si>
    <t xml:space="preserve">Ws BFF Jacket II</t>
  </si>
  <si>
    <t xml:space="preserve">1308100360</t>
  </si>
  <si>
    <t xml:space="preserve">Ws BFF Pants II</t>
  </si>
  <si>
    <t xml:space="preserve">1308100480</t>
  </si>
  <si>
    <t xml:space="preserve">Ws Boxer Houdi</t>
  </si>
  <si>
    <t xml:space="preserve">1308300560</t>
  </si>
  <si>
    <t xml:space="preserve">Ws Double Dunfri</t>
  </si>
  <si>
    <t xml:space="preserve">1308200140</t>
  </si>
  <si>
    <t xml:space="preserve">Ws Dunfri</t>
  </si>
  <si>
    <t xml:space="preserve">1308200020</t>
  </si>
  <si>
    <t xml:space="preserve">Ws Dunfri Vest</t>
  </si>
  <si>
    <t xml:space="preserve">1308200230</t>
  </si>
  <si>
    <t xml:space="preserve">Ws Enfold Jacket</t>
  </si>
  <si>
    <t xml:space="preserve">1301087940</t>
  </si>
  <si>
    <t xml:space="preserve">Ws Lykan Crew</t>
  </si>
  <si>
    <t xml:space="preserve">1308300600</t>
  </si>
  <si>
    <t xml:space="preserve">Ws Lykan Half Zip</t>
  </si>
  <si>
    <t xml:space="preserve">1308300660</t>
  </si>
  <si>
    <t xml:space="preserve">Ws Moonwalk Vest</t>
  </si>
  <si>
    <t xml:space="preserve">1308300330</t>
  </si>
  <si>
    <t xml:space="preserve">Ws One Parka II</t>
  </si>
  <si>
    <t xml:space="preserve">1308100380</t>
  </si>
  <si>
    <t xml:space="preserve">Ws Pace Flow Half Zip</t>
  </si>
  <si>
    <t xml:space="preserve">1308300460</t>
  </si>
  <si>
    <t xml:space="preserve">Ws Pace Flow Houdi</t>
  </si>
  <si>
    <t xml:space="preserve">1308300120</t>
  </si>
  <si>
    <t xml:space="preserve">Ws Power Houdi</t>
  </si>
  <si>
    <t xml:space="preserve">1308300620</t>
  </si>
  <si>
    <t xml:space="preserve">Ws Power Up Houdi</t>
  </si>
  <si>
    <t xml:space="preserve">1308300180</t>
  </si>
  <si>
    <t xml:space="preserve">Ws Power Up Jacket</t>
  </si>
  <si>
    <t xml:space="preserve">1308300670</t>
  </si>
  <si>
    <t xml:space="preserve">Ws Power Up Light Houdi</t>
  </si>
  <si>
    <t xml:space="preserve">1308300770</t>
  </si>
  <si>
    <t xml:space="preserve">Ws Puff Up Insulated Houdi</t>
  </si>
  <si>
    <t xml:space="preserve">1308100260</t>
  </si>
  <si>
    <t xml:space="preserve">Ws Ride Insulated Jacket</t>
  </si>
  <si>
    <t xml:space="preserve">1308100440</t>
  </si>
  <si>
    <t xml:space="preserve">Ws Ride Insulated Pants</t>
  </si>
  <si>
    <t xml:space="preserve">1308100460</t>
  </si>
  <si>
    <t xml:space="preserve">出ない</t>
  </si>
  <si>
    <t xml:space="preserve">Aero Hat</t>
  </si>
  <si>
    <t xml:space="preserve">1308500340</t>
  </si>
  <si>
    <t xml:space="preserve">Brisk Hat</t>
  </si>
  <si>
    <t xml:space="preserve">1308500090</t>
  </si>
  <si>
    <t xml:space="preserve">Double Loop</t>
  </si>
  <si>
    <t xml:space="preserve">1308500280</t>
  </si>
  <si>
    <t xml:space="preserve">Dunfri Cap</t>
  </si>
  <si>
    <t xml:space="preserve">1303003440</t>
  </si>
  <si>
    <t xml:space="preserve">FtN Cap</t>
  </si>
  <si>
    <t xml:space="preserve">1308500190</t>
  </si>
  <si>
    <t xml:space="preserve">Gone Fishing Hat</t>
  </si>
  <si>
    <t xml:space="preserve">1303688640</t>
  </si>
  <si>
    <t xml:space="preserve">Hut Hat</t>
  </si>
  <si>
    <t xml:space="preserve">1303786740</t>
  </si>
  <si>
    <t xml:space="preserve">Ms Aero Houdi</t>
  </si>
  <si>
    <t xml:space="preserve">1308300360</t>
  </si>
  <si>
    <t xml:space="preserve">Ms Aero Jacket</t>
  </si>
  <si>
    <t xml:space="preserve">1308300410</t>
  </si>
  <si>
    <t xml:space="preserve">Ms Corespun Chore Pants II</t>
  </si>
  <si>
    <t xml:space="preserve">1308600940</t>
  </si>
  <si>
    <t xml:space="preserve">Ms Corespun Chore Shorts</t>
  </si>
  <si>
    <t xml:space="preserve">1308600650</t>
  </si>
  <si>
    <t xml:space="preserve">Ms Dock Pants</t>
  </si>
  <si>
    <t xml:space="preserve">1302907940</t>
  </si>
  <si>
    <t xml:space="preserve">1308600810</t>
  </si>
  <si>
    <t xml:space="preserve">Ms Dunfri Shorts</t>
  </si>
  <si>
    <t xml:space="preserve">1308200310</t>
  </si>
  <si>
    <t xml:space="preserve">Ms Five to Nine Jacket</t>
  </si>
  <si>
    <t xml:space="preserve">1308100220</t>
  </si>
  <si>
    <t xml:space="preserve">Ms Liquid Chore Shorts</t>
  </si>
  <si>
    <t xml:space="preserve">1308600630</t>
  </si>
  <si>
    <t xml:space="preserve">Ms Liquid Shorts</t>
  </si>
  <si>
    <t xml:space="preserve">1308600720</t>
  </si>
  <si>
    <t xml:space="preserve">Ms Moonwalk Shorts</t>
  </si>
  <si>
    <t xml:space="preserve">1308000660</t>
  </si>
  <si>
    <t xml:space="preserve">Ms Outright Pants</t>
  </si>
  <si>
    <t xml:space="preserve">1308300060</t>
  </si>
  <si>
    <t xml:space="preserve">Ms Pace Air LS Tee</t>
  </si>
  <si>
    <t xml:space="preserve">1308400630</t>
  </si>
  <si>
    <t xml:space="preserve">Ms Pace Air Tank</t>
  </si>
  <si>
    <t xml:space="preserve">1308400700</t>
  </si>
  <si>
    <t xml:space="preserve">Ms Pace Air Tee</t>
  </si>
  <si>
    <t xml:space="preserve">1308400690</t>
  </si>
  <si>
    <t xml:space="preserve">Ms Puremerino Tee</t>
  </si>
  <si>
    <t xml:space="preserve">1308400790</t>
  </si>
  <si>
    <t xml:space="preserve">Ms Symbio Field Shirt</t>
  </si>
  <si>
    <t xml:space="preserve">1308600600</t>
  </si>
  <si>
    <t xml:space="preserve">Ms The Orange Jacket</t>
  </si>
  <si>
    <t xml:space="preserve">1308100060</t>
  </si>
  <si>
    <t xml:space="preserve">Ms The Orange Pants</t>
  </si>
  <si>
    <t xml:space="preserve">1308100310</t>
  </si>
  <si>
    <t xml:space="preserve">Ms The Orange Tee</t>
  </si>
  <si>
    <t xml:space="preserve">1308100620</t>
  </si>
  <si>
    <t xml:space="preserve">Ms Tree Chore Jacket</t>
  </si>
  <si>
    <t xml:space="preserve">1308600460</t>
  </si>
  <si>
    <t xml:space="preserve">Ms Tree LS Tee</t>
  </si>
  <si>
    <t xml:space="preserve">1308400650</t>
  </si>
  <si>
    <t xml:space="preserve">Ms Tree Polo Shirt</t>
  </si>
  <si>
    <t xml:space="preserve">1308600090</t>
  </si>
  <si>
    <t xml:space="preserve">Ms Tree Shortsleeve Shirt</t>
  </si>
  <si>
    <t xml:space="preserve">1308600510</t>
  </si>
  <si>
    <t xml:space="preserve">Ms Tree Tee</t>
  </si>
  <si>
    <t xml:space="preserve">1308400480</t>
  </si>
  <si>
    <t xml:space="preserve">Ms Wadi Pants</t>
  </si>
  <si>
    <t xml:space="preserve">1302607240</t>
  </si>
  <si>
    <t xml:space="preserve">Puffy Square</t>
  </si>
  <si>
    <t xml:space="preserve">1306006840</t>
  </si>
  <si>
    <t xml:space="preserve">Sleepwalker</t>
  </si>
  <si>
    <t xml:space="preserve">1301010740</t>
  </si>
  <si>
    <t xml:space="preserve">The Square</t>
  </si>
  <si>
    <t xml:space="preserve">1306499440</t>
  </si>
  <si>
    <t xml:space="preserve">Top Hat</t>
  </si>
  <si>
    <t xml:space="preserve">1303786840</t>
  </si>
  <si>
    <t xml:space="preserve">Ws Aero Houdi</t>
  </si>
  <si>
    <t xml:space="preserve">1308300370</t>
  </si>
  <si>
    <t xml:space="preserve">Ws Aero Jacket</t>
  </si>
  <si>
    <t xml:space="preserve">1308300400</t>
  </si>
  <si>
    <t xml:space="preserve">Ws Corespun Chore Shorts</t>
  </si>
  <si>
    <t xml:space="preserve">1308600660</t>
  </si>
  <si>
    <t xml:space="preserve">Ws Cosmo Dress</t>
  </si>
  <si>
    <t xml:space="preserve">1308600700</t>
  </si>
  <si>
    <t xml:space="preserve">Ws Cosmo Top II</t>
  </si>
  <si>
    <t xml:space="preserve">1308600710</t>
  </si>
  <si>
    <t xml:space="preserve">Ws Dunfri Shorts</t>
  </si>
  <si>
    <t xml:space="preserve">1308200300</t>
  </si>
  <si>
    <t xml:space="preserve">Ws Five to Nine Jacket</t>
  </si>
  <si>
    <t xml:space="preserve">1308100210</t>
  </si>
  <si>
    <t xml:space="preserve">Ws Liquid Chore Shorts</t>
  </si>
  <si>
    <t xml:space="preserve">1308600640</t>
  </si>
  <si>
    <t xml:space="preserve">Ws Liquid Shorts</t>
  </si>
  <si>
    <t xml:space="preserve">1308600730</t>
  </si>
  <si>
    <t xml:space="preserve">Ws Moonwalk Shorts</t>
  </si>
  <si>
    <t xml:space="preserve">1308000650</t>
  </si>
  <si>
    <t xml:space="preserve">Ws Outright Pants</t>
  </si>
  <si>
    <t xml:space="preserve">1308300070</t>
  </si>
  <si>
    <t xml:space="preserve">Ws Pace Air LS Tee</t>
  </si>
  <si>
    <t xml:space="preserve">1308400640</t>
  </si>
  <si>
    <t xml:space="preserve">Ws Pace Air Tank</t>
  </si>
  <si>
    <t xml:space="preserve">1308400670</t>
  </si>
  <si>
    <t xml:space="preserve">Ws Pace Air Tee</t>
  </si>
  <si>
    <t xml:space="preserve">1308400680</t>
  </si>
  <si>
    <t xml:space="preserve">Ws Pace Trail Tights</t>
  </si>
  <si>
    <t xml:space="preserve">1308400510</t>
  </si>
  <si>
    <t xml:space="preserve">Ws Route Shirt Dress II</t>
  </si>
  <si>
    <t xml:space="preserve">1308600680</t>
  </si>
  <si>
    <t xml:space="preserve">Ws The Orange Jacket</t>
  </si>
  <si>
    <t xml:space="preserve">1308400040</t>
  </si>
  <si>
    <t xml:space="preserve">Ws The Orange Pants</t>
  </si>
  <si>
    <t xml:space="preserve">1308100320</t>
  </si>
  <si>
    <t xml:space="preserve">Ws The Orange Tee</t>
  </si>
  <si>
    <t xml:space="preserve">1308100630</t>
  </si>
  <si>
    <t xml:space="preserve">Ws Tree Chore Jacket</t>
  </si>
  <si>
    <t xml:space="preserve">1308600470</t>
  </si>
  <si>
    <t xml:space="preserve">Ws Tree Chore Pants II</t>
  </si>
  <si>
    <t xml:space="preserve">1308600960</t>
  </si>
  <si>
    <t xml:space="preserve">Ws Tree LS Tee</t>
  </si>
  <si>
    <t xml:space="preserve">1308400660</t>
  </si>
  <si>
    <t xml:space="preserve">Ws Tree Tee</t>
  </si>
  <si>
    <t xml:space="preserve">1308400450</t>
  </si>
  <si>
    <t xml:space="preserve">Ws Tree Top</t>
  </si>
  <si>
    <t xml:space="preserve">1308600100</t>
  </si>
  <si>
    <t xml:space="preserve">Ws Wadi Pants</t>
  </si>
  <si>
    <t xml:space="preserve">1301607240</t>
  </si>
  <si>
    <t xml:space="preserve">Ws Walkabout Skirt</t>
  </si>
  <si>
    <t xml:space="preserve">1308600180</t>
  </si>
  <si>
    <t xml:space="preserve">Zissou Hat</t>
  </si>
  <si>
    <t xml:space="preserve">1303725240</t>
  </si>
  <si>
    <t xml:space="preserve">ALPINE WOOL SOCKS</t>
  </si>
  <si>
    <t xml:space="preserve">1401122150</t>
  </si>
  <si>
    <t xml:space="preserve">FLEECEWOOL HOODIE</t>
  </si>
  <si>
    <t xml:space="preserve">1401120500</t>
  </si>
  <si>
    <t xml:space="preserve">FLEECEWOOL HOODIE  WOMAN</t>
  </si>
  <si>
    <t xml:space="preserve">1401120750</t>
  </si>
  <si>
    <t xml:space="preserve">FLEECEWOOL JOGGERS</t>
  </si>
  <si>
    <t xml:space="preserve">1401119590</t>
  </si>
  <si>
    <t xml:space="preserve">FLEECEWOOL JOGGERS  WOMAN</t>
  </si>
  <si>
    <t xml:space="preserve">1401119790</t>
  </si>
  <si>
    <t xml:space="preserve">HOTWOOL FR LONGS</t>
  </si>
  <si>
    <t xml:space="preserve">1401122330</t>
  </si>
  <si>
    <t xml:space="preserve">HOTWOOL FR POLO</t>
  </si>
  <si>
    <t xml:space="preserve">1401122480</t>
  </si>
  <si>
    <t xml:space="preserve">HUNTING WOOL SOCKS</t>
  </si>
  <si>
    <t xml:space="preserve">1401122070</t>
  </si>
  <si>
    <t xml:space="preserve">TREKKING WOOL SOCKS</t>
  </si>
  <si>
    <t xml:space="preserve">1401122030</t>
  </si>
  <si>
    <t xml:space="preserve">WARMWOOL LARS MONSEN BEANIE</t>
  </si>
  <si>
    <t xml:space="preserve">1401119090</t>
  </si>
  <si>
    <t xml:space="preserve">WARMWOOL LARS MONSEN CREW NECK</t>
  </si>
  <si>
    <t xml:space="preserve">1401118930</t>
  </si>
  <si>
    <t xml:space="preserve">WARMWOOL LARS MONSEN HEADOVER</t>
  </si>
  <si>
    <t xml:space="preserve">1401118850</t>
  </si>
  <si>
    <t xml:space="preserve">WARMWOOL LARS MONSEN LONGS</t>
  </si>
  <si>
    <t xml:space="preserve">1401118780</t>
  </si>
  <si>
    <t xml:space="preserve">WARMWOOL LARS MONSEN LONGS  WOMAN</t>
  </si>
  <si>
    <t xml:space="preserve">1401118710</t>
  </si>
  <si>
    <t xml:space="preserve">WARMWOOL MOTION CREW NECK</t>
  </si>
  <si>
    <t xml:space="preserve">1401119460</t>
  </si>
  <si>
    <t xml:space="preserve">WARMWOOL MOTION CREW NECK  WOMAN</t>
  </si>
  <si>
    <t xml:space="preserve">1401121900</t>
  </si>
  <si>
    <t xml:space="preserve">WARMWOOL MOTION LONGS HIGH WAIST  WOMAN</t>
  </si>
  <si>
    <t xml:space="preserve">1401119270</t>
  </si>
  <si>
    <t xml:space="preserve">WARMWOOL MOTION PULSE HEATER</t>
  </si>
  <si>
    <t xml:space="preserve">1401099180</t>
  </si>
  <si>
    <t xml:space="preserve">CLASSIC BEANIE</t>
  </si>
  <si>
    <t xml:space="preserve">1401017740</t>
  </si>
  <si>
    <t xml:space="preserve">DESIGNWOOL MARIUS CREW NECK</t>
  </si>
  <si>
    <t xml:space="preserve">1401016890</t>
  </si>
  <si>
    <t xml:space="preserve">DESIGNWOOL MARIUS CREW NECK WOMAN</t>
  </si>
  <si>
    <t xml:space="preserve">1401016880</t>
  </si>
  <si>
    <t xml:space="preserve">DESIGNWOOL MARIUS HEADOVER</t>
  </si>
  <si>
    <t xml:space="preserve">1401024710</t>
  </si>
  <si>
    <t xml:space="preserve">DESIGNWOOL MARIUS LONGS</t>
  </si>
  <si>
    <t xml:space="preserve">1401027030</t>
  </si>
  <si>
    <t xml:space="preserve">DESIGNWOOL MARIUS LONGS WOMAN</t>
  </si>
  <si>
    <t xml:space="preserve">1401027230</t>
  </si>
  <si>
    <t xml:space="preserve">DESIGNWOOL MARIUS MOCK NECK</t>
  </si>
  <si>
    <t xml:space="preserve">1401016900</t>
  </si>
  <si>
    <t xml:space="preserve">DESIGNWOOL MARIUS MOCK NECK WOMAN</t>
  </si>
  <si>
    <t xml:space="preserve">1401027100</t>
  </si>
  <si>
    <t xml:space="preserve">DESIGNWOOL MARIUS PULSE HEATER</t>
  </si>
  <si>
    <t xml:space="preserve">1401022760</t>
  </si>
  <si>
    <t xml:space="preserve">DOUBLEWOOL BALACLAVA</t>
  </si>
  <si>
    <t xml:space="preserve">1401032830</t>
  </si>
  <si>
    <t xml:space="preserve">DOUBLEWOOL JACKET</t>
  </si>
  <si>
    <t xml:space="preserve">1401034320</t>
  </si>
  <si>
    <t xml:space="preserve">DOUBLEWOOL JACKET WOMAN</t>
  </si>
  <si>
    <t xml:space="preserve">1401034110</t>
  </si>
  <si>
    <t xml:space="preserve">DOUBLEWOOL LONGS</t>
  </si>
  <si>
    <t xml:space="preserve">1401034460</t>
  </si>
  <si>
    <t xml:space="preserve">DOUBLEWOOL LONGS WOMAN</t>
  </si>
  <si>
    <t xml:space="preserve">1401034250</t>
  </si>
  <si>
    <t xml:space="preserve">DOUBLEWOOL NECK GAITER</t>
  </si>
  <si>
    <t xml:space="preserve">1401017900</t>
  </si>
  <si>
    <t xml:space="preserve">DOUBLEWOOL POLO ZIP</t>
  </si>
  <si>
    <t xml:space="preserve">1401034390</t>
  </si>
  <si>
    <t xml:space="preserve">DOUBLEWOOL POLO ZIP WOMAN</t>
  </si>
  <si>
    <t xml:space="preserve">1401034180</t>
  </si>
  <si>
    <t xml:space="preserve">EXPLORER BEANIE</t>
  </si>
  <si>
    <t xml:space="preserve">1401034890</t>
  </si>
  <si>
    <t xml:space="preserve">FLAT KNIT BALACLAVA HAT</t>
  </si>
  <si>
    <t xml:space="preserve">1401099220</t>
  </si>
  <si>
    <t xml:space="preserve">FLEECEWOOL HEADOVER</t>
  </si>
  <si>
    <t xml:space="preserve">1401084810</t>
  </si>
  <si>
    <t xml:space="preserve">FLEECEWOOL TOP WOMAN</t>
  </si>
  <si>
    <t xml:space="preserve">1401084760</t>
  </si>
  <si>
    <t xml:space="preserve">HOTWOOL HEAVY LINER GLOVES</t>
  </si>
  <si>
    <t xml:space="preserve">1401043050</t>
  </si>
  <si>
    <t xml:space="preserve">LIGHTWOOL BALACLAVA</t>
  </si>
  <si>
    <t xml:space="preserve">1401047560</t>
  </si>
  <si>
    <t xml:space="preserve">LIGHTWOOL BEANIE</t>
  </si>
  <si>
    <t xml:space="preserve">1401017750</t>
  </si>
  <si>
    <t xml:space="preserve">LIGHTWOOL HUNTING BEANIE</t>
  </si>
  <si>
    <t xml:space="preserve">1401017920</t>
  </si>
  <si>
    <t xml:space="preserve">LIGHTWOOL LINER GLOVES</t>
  </si>
  <si>
    <t xml:space="preserve">1401017650</t>
  </si>
  <si>
    <t xml:space="preserve">LIGHTWOOL RELAXED BEANIE</t>
  </si>
  <si>
    <t xml:space="preserve">1401068230</t>
  </si>
  <si>
    <t xml:space="preserve">NORWEGIAN WOOL SOCKS</t>
  </si>
  <si>
    <t xml:space="preserve">1401073620</t>
  </si>
  <si>
    <t xml:space="preserve">REBORN FELTED BEANIE</t>
  </si>
  <si>
    <t xml:space="preserve">1401107450</t>
  </si>
  <si>
    <t xml:space="preserve">WARMWOOL 3/4 LONGS</t>
  </si>
  <si>
    <t xml:space="preserve">1401016930</t>
  </si>
  <si>
    <t xml:space="preserve">WARMWOOL 3/4 LONGS WOMAN</t>
  </si>
  <si>
    <t xml:space="preserve">1401073710</t>
  </si>
  <si>
    <t xml:space="preserve">WARMWOOL 3/4 SUMMIT LONGS WOMAN</t>
  </si>
  <si>
    <t xml:space="preserve">1401053120</t>
  </si>
  <si>
    <t xml:space="preserve">WARMWOOL BALACLAVA</t>
  </si>
  <si>
    <t xml:space="preserve">1401017680</t>
  </si>
  <si>
    <t xml:space="preserve">WARMWOOL BALACLAVA 2-LAYER</t>
  </si>
  <si>
    <t xml:space="preserve">1401017890</t>
  </si>
  <si>
    <t xml:space="preserve">WARMWOOL BODYPIECE</t>
  </si>
  <si>
    <t xml:space="preserve">1401017140</t>
  </si>
  <si>
    <t xml:space="preserve">WARMWOOL CREW NECK</t>
  </si>
  <si>
    <t xml:space="preserve">1401017150</t>
  </si>
  <si>
    <t xml:space="preserve">WARMWOOL CREW NECK WOMAN</t>
  </si>
  <si>
    <t xml:space="preserve">1401017020</t>
  </si>
  <si>
    <t xml:space="preserve">WARMWOOL GRANDAD SHIRT</t>
  </si>
  <si>
    <t xml:space="preserve">1401017170</t>
  </si>
  <si>
    <t xml:space="preserve">WARMWOOL GRANDAD SHIRT WOMAN</t>
  </si>
  <si>
    <t xml:space="preserve">1401017030</t>
  </si>
  <si>
    <t xml:space="preserve">WARMWOOL HEADOVER W/WIND WOOL</t>
  </si>
  <si>
    <t xml:space="preserve">1401053080</t>
  </si>
  <si>
    <t xml:space="preserve">WARMWOOL HOOD SWEATER V2</t>
  </si>
  <si>
    <t xml:space="preserve">1401084520</t>
  </si>
  <si>
    <t xml:space="preserve">WARMWOOL HOOD SWEATER W/ZIP</t>
  </si>
  <si>
    <t xml:space="preserve">1401040350</t>
  </si>
  <si>
    <t xml:space="preserve">WARMWOOL HOOD SWEATER W/ZIP WOMAN</t>
  </si>
  <si>
    <t xml:space="preserve">1401040780</t>
  </si>
  <si>
    <t xml:space="preserve">WARMWOOL HOOD SWEATER WOMAN</t>
  </si>
  <si>
    <t xml:space="preserve">1401084490</t>
  </si>
  <si>
    <t xml:space="preserve">WARMWOOL LONGS</t>
  </si>
  <si>
    <t xml:space="preserve">1401017350</t>
  </si>
  <si>
    <t xml:space="preserve">WARMWOOL LONGS HIGH WAIST WOMAN</t>
  </si>
  <si>
    <t xml:space="preserve">1401084500</t>
  </si>
  <si>
    <t xml:space="preserve">WARMWOOL LONGS WOMAN</t>
  </si>
  <si>
    <t xml:space="preserve">1401017110</t>
  </si>
  <si>
    <t xml:space="preserve">WARMWOOL MOCK NECK</t>
  </si>
  <si>
    <t xml:space="preserve">1401017360</t>
  </si>
  <si>
    <t xml:space="preserve">WARMWOOL MOCK NECK WOMAN</t>
  </si>
  <si>
    <t xml:space="preserve">1401017050</t>
  </si>
  <si>
    <t xml:space="preserve">WARMWOOL MOTION HEADBAND</t>
  </si>
  <si>
    <t xml:space="preserve">1401099190</t>
  </si>
  <si>
    <t xml:space="preserve">WARMWOOL NECK</t>
  </si>
  <si>
    <t xml:space="preserve">1401017720</t>
  </si>
  <si>
    <t xml:space="preserve">WARMWOOL OVERALL</t>
  </si>
  <si>
    <t xml:space="preserve">1401017390</t>
  </si>
  <si>
    <t xml:space="preserve">WARMWOOL OVERALL WOMAN</t>
  </si>
  <si>
    <t xml:space="preserve">1401017130</t>
  </si>
  <si>
    <t xml:space="preserve">WARMWOOL POLO</t>
  </si>
  <si>
    <t xml:space="preserve">1401073700</t>
  </si>
  <si>
    <t xml:space="preserve">WARMWOOL PULSE HEATER</t>
  </si>
  <si>
    <t xml:space="preserve">1401034910</t>
  </si>
  <si>
    <t xml:space="preserve">WARMWOOL SOCKS</t>
  </si>
  <si>
    <t xml:space="preserve">1401039850</t>
  </si>
  <si>
    <t xml:space="preserve">WOOLNET LIGHT BEANIE</t>
  </si>
  <si>
    <t xml:space="preserve">1401099140</t>
  </si>
  <si>
    <t xml:space="preserve">WOOLSHELL SPORTS JACKET WOMAN</t>
  </si>
  <si>
    <t xml:space="preserve">1401063020</t>
  </si>
  <si>
    <t xml:space="preserve">WOOLSHELL SPORTS TIGHTS</t>
  </si>
  <si>
    <t xml:space="preserve">1401062890</t>
  </si>
  <si>
    <t xml:space="preserve">WOOLSHELL SPORTS TIGHTS WOMAN</t>
  </si>
  <si>
    <t xml:space="preserve">1401063030</t>
  </si>
  <si>
    <t xml:space="preserve">WOOLSHELL VEST</t>
  </si>
  <si>
    <t xml:space="preserve">1401017010</t>
  </si>
  <si>
    <t xml:space="preserve">WOOLSHELL VEST WOMAN</t>
  </si>
  <si>
    <t xml:space="preserve">1401016970</t>
  </si>
  <si>
    <t xml:space="preserve">FLEXWOOL SPORTS TOP WOMAN</t>
  </si>
  <si>
    <t xml:space="preserve">1401042840</t>
  </si>
  <si>
    <t xml:space="preserve">FORESTER CAP</t>
  </si>
  <si>
    <t xml:space="preserve">1401017910</t>
  </si>
  <si>
    <t xml:space="preserve">LEISUREWOOL WOVEN SHORT SLEEVE SHIRT</t>
  </si>
  <si>
    <t xml:space="preserve">1401059800</t>
  </si>
  <si>
    <t xml:space="preserve">LEISUREWOOL WOVEN WOOL SHIRT</t>
  </si>
  <si>
    <t xml:space="preserve">1401048060</t>
  </si>
  <si>
    <t xml:space="preserve">LIGHTWOOL 140 BOXER</t>
  </si>
  <si>
    <t xml:space="preserve">1401016610</t>
  </si>
  <si>
    <t xml:space="preserve">LIGHTWOOL 140 CLASSIC TEE</t>
  </si>
  <si>
    <t xml:space="preserve">1401068170</t>
  </si>
  <si>
    <t xml:space="preserve">LIGHTWOOL 140 CLASSIC TEE WOMAN</t>
  </si>
  <si>
    <t xml:space="preserve">1401068200</t>
  </si>
  <si>
    <t xml:space="preserve">LIGHTWOOL 140 HIPSTER WOMAN</t>
  </si>
  <si>
    <t xml:space="preserve">1401016510</t>
  </si>
  <si>
    <t xml:space="preserve">LIGHTWOOL 140 LONG SHORTS WOMAN</t>
  </si>
  <si>
    <t xml:space="preserve">1401016520</t>
  </si>
  <si>
    <t xml:space="preserve">LIGHTWOOL 140 LONGS</t>
  </si>
  <si>
    <t xml:space="preserve">1401016630</t>
  </si>
  <si>
    <t xml:space="preserve">LIGHTWOOL 140 LONGS WOMAN</t>
  </si>
  <si>
    <t xml:space="preserve">1401016530</t>
  </si>
  <si>
    <t xml:space="preserve">LIGHTWOOL 140 SHORTS LONG</t>
  </si>
  <si>
    <t xml:space="preserve">1401016620</t>
  </si>
  <si>
    <t xml:space="preserve">LIGHTWOOL 140 SINGLET</t>
  </si>
  <si>
    <t xml:space="preserve">1401102730</t>
  </si>
  <si>
    <t xml:space="preserve">LIGHTWOOL 140 SINGLET V2 WOMAN</t>
  </si>
  <si>
    <t xml:space="preserve">1401102710</t>
  </si>
  <si>
    <t xml:space="preserve">LIGHTWOOL 140 TRAIL T-SHIRT</t>
  </si>
  <si>
    <t xml:space="preserve">1401102740</t>
  </si>
  <si>
    <t xml:space="preserve">LIGHTWOOL 140 TRAIL T-SHIRT WOMAN</t>
  </si>
  <si>
    <t xml:space="preserve">1401102720</t>
  </si>
  <si>
    <t xml:space="preserve">LIGHTWOOL 140 UNDERSHIRT LONG SLEEVE</t>
  </si>
  <si>
    <t xml:space="preserve">1401063210</t>
  </si>
  <si>
    <t xml:space="preserve">LIGHTWOOL 140 UNDERSHIRT LONG SLEEVE WOMAN</t>
  </si>
  <si>
    <t xml:space="preserve">1401063200</t>
  </si>
  <si>
    <t xml:space="preserve">LIGHTWOOL 140 UNDERSHIRT T-SHIRT</t>
  </si>
  <si>
    <t xml:space="preserve">1401063180</t>
  </si>
  <si>
    <t xml:space="preserve">LIGHTWOOL 140 UNDERSHIRT T-SHIRT WOMAN</t>
  </si>
  <si>
    <t xml:space="preserve">1401063190</t>
  </si>
  <si>
    <t xml:space="preserve">LIGHTWOOL 180 CLASSIC TEE</t>
  </si>
  <si>
    <t xml:space="preserve">1401095190</t>
  </si>
  <si>
    <t xml:space="preserve">LIGHTWOOL 180 CLASSIC TEE WOMAN</t>
  </si>
  <si>
    <t xml:space="preserve">1401095120</t>
  </si>
  <si>
    <t xml:space="preserve">LIGHTWOOL 180 CREW NECK</t>
  </si>
  <si>
    <t xml:space="preserve">1401095200</t>
  </si>
  <si>
    <t xml:space="preserve">LIGHTWOOL 180 CREW NECK WOMAN</t>
  </si>
  <si>
    <t xml:space="preserve">1401095140</t>
  </si>
  <si>
    <t xml:space="preserve">LIGHTWOOL 180 SPORTS TOP WOMAN</t>
  </si>
  <si>
    <t xml:space="preserve">1401095150</t>
  </si>
  <si>
    <t xml:space="preserve">LIGHTWOOL BRIEFS WOMAN</t>
  </si>
  <si>
    <t xml:space="preserve">1401016500</t>
  </si>
  <si>
    <t xml:space="preserve">LIGHTWOOL HEADBAND</t>
  </si>
  <si>
    <t xml:space="preserve">1401047450</t>
  </si>
  <si>
    <t xml:space="preserve">LIGHTWOOL HEADOVER</t>
  </si>
  <si>
    <t xml:space="preserve">1401017640</t>
  </si>
  <si>
    <t xml:space="preserve">LIGHTWOOL SPORTS SHIRT</t>
  </si>
  <si>
    <t xml:space="preserve">1401047720</t>
  </si>
  <si>
    <t xml:space="preserve">LIGHTWOOL SPORTS SHIRT WOMAN</t>
  </si>
  <si>
    <t xml:space="preserve">1401046750</t>
  </si>
  <si>
    <t xml:space="preserve">LIGHTWOOL SPORTS SINGLET</t>
  </si>
  <si>
    <t xml:space="preserve">1401068240</t>
  </si>
  <si>
    <t xml:space="preserve">LIGHTWOOL SPORTS T-SHIRT</t>
  </si>
  <si>
    <t xml:space="preserve">1401047850</t>
  </si>
  <si>
    <t xml:space="preserve">LIGHTWOOL SPORTS T-SHIRT WOMAN</t>
  </si>
  <si>
    <t xml:space="preserve">1401046880</t>
  </si>
  <si>
    <t xml:space="preserve">LINER WOOL SOCKS</t>
  </si>
  <si>
    <t xml:space="preserve">1401117630</t>
  </si>
  <si>
    <t xml:space="preserve">REBORN CAPS</t>
  </si>
  <si>
    <t xml:space="preserve">1401095240</t>
  </si>
  <si>
    <t xml:space="preserve">REBORN TERRY HEADBAND</t>
  </si>
  <si>
    <t xml:space="preserve">1401084480</t>
  </si>
  <si>
    <t xml:space="preserve">REBORN TERRY JACKET</t>
  </si>
  <si>
    <t xml:space="preserve">1401081050</t>
  </si>
  <si>
    <t xml:space="preserve">REBORN TERRY JACKET WOMAN</t>
  </si>
  <si>
    <t xml:space="preserve">1401081030</t>
  </si>
  <si>
    <t xml:space="preserve">REBORN TERRY VEST</t>
  </si>
  <si>
    <t xml:space="preserve">1401081060</t>
  </si>
  <si>
    <t xml:space="preserve">REBORN TERRY VEST WOMAN</t>
  </si>
  <si>
    <t xml:space="preserve">1401081040</t>
  </si>
  <si>
    <t xml:space="preserve">REBORN WOOL SHIRT</t>
  </si>
  <si>
    <t xml:space="preserve">1401063100</t>
  </si>
  <si>
    <t xml:space="preserve">REBORN WOOL SHIRT WOMAN</t>
  </si>
  <si>
    <t xml:space="preserve">1401063110</t>
  </si>
  <si>
    <t xml:space="preserve">WARMWOOL BOXER</t>
  </si>
  <si>
    <t xml:space="preserve">1401017310</t>
  </si>
  <si>
    <t xml:space="preserve">WARMWOOL HIPSTER WOMAN</t>
  </si>
  <si>
    <t xml:space="preserve">1401017040</t>
  </si>
  <si>
    <t xml:space="preserve">WARMWOOL SHORTS LONG</t>
  </si>
  <si>
    <t xml:space="preserve">1401017320</t>
  </si>
  <si>
    <t xml:space="preserve">WOOLNET 3/4 LONGS</t>
  </si>
  <si>
    <t xml:space="preserve">1401016310</t>
  </si>
  <si>
    <t xml:space="preserve">WOOLNET 3/4 LONGS WOMAN</t>
  </si>
  <si>
    <t xml:space="preserve">1401016340</t>
  </si>
  <si>
    <t xml:space="preserve">WOOLNET CREW NECK</t>
  </si>
  <si>
    <t xml:space="preserve">1401016300</t>
  </si>
  <si>
    <t xml:space="preserve">WOOLNET CREW NECK WOMAN</t>
  </si>
  <si>
    <t xml:space="preserve">1401016280</t>
  </si>
  <si>
    <t xml:space="preserve">WOOLNET HYBRID CREW NECK</t>
  </si>
  <si>
    <t xml:space="preserve">1401027370</t>
  </si>
  <si>
    <t xml:space="preserve">WOOLNET HYBRID CREW NECK WOMAN</t>
  </si>
  <si>
    <t xml:space="preserve">1401027300</t>
  </si>
  <si>
    <t xml:space="preserve">WOOLNET HYBRID LONGS</t>
  </si>
  <si>
    <t xml:space="preserve">1401027510</t>
  </si>
  <si>
    <t xml:space="preserve">WOOLNET HYBRID MOCK NECK</t>
  </si>
  <si>
    <t xml:space="preserve">1401032790</t>
  </si>
  <si>
    <t xml:space="preserve">WOOLNET LIGHT CREW NECK</t>
  </si>
  <si>
    <t xml:space="preserve">1401080990</t>
  </si>
  <si>
    <t xml:space="preserve">WOOLNET LIGHT CREW NECK WOMAN</t>
  </si>
  <si>
    <t xml:space="preserve">1401080970</t>
  </si>
  <si>
    <t xml:space="preserve">WOOLNET LIGHT T-SHIRT</t>
  </si>
  <si>
    <t xml:space="preserve">1401081000</t>
  </si>
  <si>
    <t xml:space="preserve">WOOLNET LIGHT T-SHIRT WOMAN</t>
  </si>
  <si>
    <t xml:space="preserve">1401080980</t>
  </si>
  <si>
    <t xml:space="preserve">WOOLNET LONGS</t>
  </si>
  <si>
    <t xml:space="preserve">1401016330</t>
  </si>
  <si>
    <t xml:space="preserve">WOOLNET LONGS WOMAN</t>
  </si>
  <si>
    <t xml:space="preserve">1401016320</t>
  </si>
  <si>
    <t xml:space="preserve">WOOLNET POLO ZIP</t>
  </si>
  <si>
    <t xml:space="preserve">1401016350</t>
  </si>
  <si>
    <t xml:space="preserve">WOOLNET POLO ZIP WOMAN</t>
  </si>
  <si>
    <t xml:space="preserve">1401016360</t>
  </si>
  <si>
    <t xml:space="preserve">WOOLNET SINGLET</t>
  </si>
  <si>
    <t xml:space="preserve">1401000000</t>
  </si>
  <si>
    <t xml:space="preserve">WOOLNET T-SHIRT</t>
  </si>
  <si>
    <t xml:space="preserve">1401016370</t>
  </si>
  <si>
    <t xml:space="preserve">WOOLNET T-SHIRT WOMAN</t>
  </si>
  <si>
    <t xml:space="preserve">1401032770</t>
  </si>
  <si>
    <t xml:space="preserve">CALYX</t>
  </si>
  <si>
    <t xml:space="preserve">1100104830</t>
  </si>
  <si>
    <t xml:space="preserve">CALYX CARBON</t>
  </si>
  <si>
    <t xml:space="preserve">1100104880</t>
  </si>
  <si>
    <t xml:space="preserve">CIASMA</t>
  </si>
  <si>
    <t xml:space="preserve">1104092000</t>
  </si>
  <si>
    <t xml:space="preserve">CIASMA LENS</t>
  </si>
  <si>
    <t xml:space="preserve">1104143600</t>
  </si>
  <si>
    <t xml:space="preserve">DIMENSION VPD BACKPACK</t>
  </si>
  <si>
    <t xml:space="preserve">1100200970</t>
  </si>
  <si>
    <t xml:space="preserve">FOREARM RACE</t>
  </si>
  <si>
    <t xml:space="preserve">1102016800</t>
  </si>
  <si>
    <t xml:space="preserve">FOREARM RACE JR</t>
  </si>
  <si>
    <t xml:space="preserve">1102017800</t>
  </si>
  <si>
    <t xml:space="preserve">FORNIX</t>
  </si>
  <si>
    <t xml:space="preserve">1101041100</t>
  </si>
  <si>
    <t xml:space="preserve">FORNIX BC</t>
  </si>
  <si>
    <t xml:space="preserve">1101041400</t>
  </si>
  <si>
    <t xml:space="preserve">FORNIX MIPS</t>
  </si>
  <si>
    <t xml:space="preserve">1101041200</t>
  </si>
  <si>
    <t xml:space="preserve">FORNIX MIPS POW JJ</t>
  </si>
  <si>
    <t xml:space="preserve">1101041300</t>
  </si>
  <si>
    <t xml:space="preserve">FORNIX PADS</t>
  </si>
  <si>
    <t xml:space="preserve">1107006300</t>
  </si>
  <si>
    <t xml:space="preserve">FOVEA CLARITY POW JJ</t>
  </si>
  <si>
    <t xml:space="preserve">1104043200</t>
  </si>
  <si>
    <t xml:space="preserve">FOVEA PHOTOCHROMIC WF JAPAN FIT</t>
  </si>
  <si>
    <t xml:space="preserve">1100408450</t>
  </si>
  <si>
    <t xml:space="preserve">FOVEA WF JAPAN FIT</t>
  </si>
  <si>
    <t xml:space="preserve">1100408410</t>
  </si>
  <si>
    <t xml:space="preserve">FOVEA/FOVEA RACE LENS</t>
  </si>
  <si>
    <t xml:space="preserve">1100414200</t>
  </si>
  <si>
    <t xml:space="preserve">GOGGLE STRAPS</t>
  </si>
  <si>
    <t xml:space="preserve">1107004100</t>
  </si>
  <si>
    <t xml:space="preserve">LAYER MERINO BALACLAVA</t>
  </si>
  <si>
    <t xml:space="preserve">1106430800</t>
  </si>
  <si>
    <t xml:space="preserve">LEVATOR MIPS</t>
  </si>
  <si>
    <t xml:space="preserve">1100104860</t>
  </si>
  <si>
    <t xml:space="preserve">LEVATOR SPARE LENS</t>
  </si>
  <si>
    <t xml:space="preserve">1107040900</t>
  </si>
  <si>
    <t xml:space="preserve">MAXILLA BREAKAWAY SYSTEM</t>
  </si>
  <si>
    <t xml:space="preserve">1101101300</t>
  </si>
  <si>
    <t xml:space="preserve">Ms COALESCE JACKET</t>
  </si>
  <si>
    <t xml:space="preserve">1100510640</t>
  </si>
  <si>
    <t xml:space="preserve">Ms COALESCE VEST</t>
  </si>
  <si>
    <t xml:space="preserve">1105106600</t>
  </si>
  <si>
    <t xml:space="preserve">Ms LAYER MERINO 3/4 TIGHTS</t>
  </si>
  <si>
    <t xml:space="preserve">1105702500</t>
  </si>
  <si>
    <t xml:space="preserve">Ms LAYER MERINO MOCK NECK JERSEY</t>
  </si>
  <si>
    <t xml:space="preserve">1105703200</t>
  </si>
  <si>
    <t xml:space="preserve">Ms RACE LOFT PARKA</t>
  </si>
  <si>
    <t xml:space="preserve">1100510840</t>
  </si>
  <si>
    <t xml:space="preserve">Ms VPD AIR VEST</t>
  </si>
  <si>
    <t xml:space="preserve">1102032700</t>
  </si>
  <si>
    <t xml:space="preserve">NEXAL LENS</t>
  </si>
  <si>
    <t xml:space="preserve">1100414250</t>
  </si>
  <si>
    <t xml:space="preserve">NEXAL WF JAPAN FIT</t>
  </si>
  <si>
    <t xml:space="preserve">1100408510</t>
  </si>
  <si>
    <t xml:space="preserve">OBEX BC MIPS</t>
  </si>
  <si>
    <t xml:space="preserve">1100101140</t>
  </si>
  <si>
    <t xml:space="preserve">OBEX CONNECT</t>
  </si>
  <si>
    <t xml:space="preserve">1100101170</t>
  </si>
  <si>
    <t xml:space="preserve">OBEX PURE</t>
  </si>
  <si>
    <t xml:space="preserve">1101010900</t>
  </si>
  <si>
    <t xml:space="preserve">OBEX VISOR</t>
  </si>
  <si>
    <t xml:space="preserve">1100101190</t>
  </si>
  <si>
    <t xml:space="preserve">OBEX WF MIPS</t>
  </si>
  <si>
    <t xml:space="preserve">1100101080</t>
  </si>
  <si>
    <t xml:space="preserve">OPSIN LENS</t>
  </si>
  <si>
    <t xml:space="preserve">1100414270</t>
  </si>
  <si>
    <t xml:space="preserve">OPSIN WF JAPAN FIT</t>
  </si>
  <si>
    <t xml:space="preserve">1100408610</t>
  </si>
  <si>
    <t xml:space="preserve">POC BEANIE</t>
  </si>
  <si>
    <t xml:space="preserve">1106431100</t>
  </si>
  <si>
    <t xml:space="preserve">POC BEANIE FLAT</t>
  </si>
  <si>
    <t xml:space="preserve">1106431200</t>
  </si>
  <si>
    <t xml:space="preserve">POC BEANIE FLAT LOW</t>
  </si>
  <si>
    <t xml:space="preserve">1106431900</t>
  </si>
  <si>
    <t xml:space="preserve">POC BEANIE POM</t>
  </si>
  <si>
    <t xml:space="preserve">1106431300</t>
  </si>
  <si>
    <t xml:space="preserve">POC BEANIE SHORT</t>
  </si>
  <si>
    <t xml:space="preserve">1106431400</t>
  </si>
  <si>
    <t xml:space="preserve">POC CORP CAP</t>
  </si>
  <si>
    <t xml:space="preserve">1106005000</t>
  </si>
  <si>
    <t xml:space="preserve">POC CREW</t>
  </si>
  <si>
    <t xml:space="preserve">1100616510</t>
  </si>
  <si>
    <t xml:space="preserve">POC FLEECE CAP</t>
  </si>
  <si>
    <t xml:space="preserve">1106431700</t>
  </si>
  <si>
    <t xml:space="preserve">POC FLEECE NECKWARMER</t>
  </si>
  <si>
    <t xml:space="preserve">1106431800</t>
  </si>
  <si>
    <t xml:space="preserve">POC HOOD</t>
  </si>
  <si>
    <t xml:space="preserve">1100616520</t>
  </si>
  <si>
    <t xml:space="preserve">POCITO VPD AIR VEST</t>
  </si>
  <si>
    <t xml:space="preserve">1102002600</t>
  </si>
  <si>
    <t xml:space="preserve">RACE SOCK</t>
  </si>
  <si>
    <t xml:space="preserve">1106516100</t>
  </si>
  <si>
    <t xml:space="preserve">RETINA WF JAPAN FIT</t>
  </si>
  <si>
    <t xml:space="preserve">1100408710</t>
  </si>
  <si>
    <t xml:space="preserve">RETINA/RETINA RACE LENS</t>
  </si>
  <si>
    <t xml:space="preserve">1100414220</t>
  </si>
  <si>
    <t xml:space="preserve">SHINS RACE</t>
  </si>
  <si>
    <t xml:space="preserve">1102016700</t>
  </si>
  <si>
    <t xml:space="preserve">SHINS RACE JR</t>
  </si>
  <si>
    <t xml:space="preserve">1102017700</t>
  </si>
  <si>
    <t xml:space="preserve">SKULL DURA COMP MIPS</t>
  </si>
  <si>
    <t xml:space="preserve">1100101810</t>
  </si>
  <si>
    <t xml:space="preserve">SKULL DURA X MIPS</t>
  </si>
  <si>
    <t xml:space="preserve">1100101820</t>
  </si>
  <si>
    <t xml:space="preserve">SUPER SKULL SPIN GOGGLE CLIP</t>
  </si>
  <si>
    <t xml:space="preserve">1107027700</t>
  </si>
  <si>
    <t xml:space="preserve">TARSAL WF JAPAN FIT</t>
  </si>
  <si>
    <t xml:space="preserve">1104083700</t>
  </si>
  <si>
    <t xml:space="preserve">VITREA LENS</t>
  </si>
  <si>
    <t xml:space="preserve">1100414320</t>
  </si>
  <si>
    <t xml:space="preserve">VITREA WF JAPAN FIT(MAGNET)</t>
  </si>
  <si>
    <t xml:space="preserve">1104092200</t>
  </si>
  <si>
    <t xml:space="preserve">WS LAYER MERINO 3/4 TIGHTS</t>
  </si>
  <si>
    <t xml:space="preserve">1105702700</t>
  </si>
  <si>
    <t xml:space="preserve">Ws COALESCE JACKET</t>
  </si>
  <si>
    <t xml:space="preserve">1100510650</t>
  </si>
  <si>
    <t xml:space="preserve">Ws RACE LOFT PARKA</t>
  </si>
  <si>
    <t xml:space="preserve">1100510850</t>
  </si>
  <si>
    <t xml:space="preserve">Ws VPD AIR VEST</t>
  </si>
  <si>
    <t xml:space="preserve">1102032800</t>
  </si>
  <si>
    <t xml:space="preserve">ZONULA WF JAPAN FIT</t>
  </si>
  <si>
    <t xml:space="preserve">1100408910</t>
  </si>
  <si>
    <t xml:space="preserve">ZONULA/ZONULA RACE LENS</t>
  </si>
  <si>
    <t xml:space="preserve">1100414240</t>
  </si>
  <si>
    <t xml:space="preserve">AGILE SHORT GLOVE</t>
  </si>
  <si>
    <t xml:space="preserve">1103037500</t>
  </si>
  <si>
    <t xml:space="preserve">AMIDAL</t>
  </si>
  <si>
    <t xml:space="preserve">1101088300</t>
  </si>
  <si>
    <t xml:space="preserve">ASPIRE MID</t>
  </si>
  <si>
    <t xml:space="preserve">1100201210</t>
  </si>
  <si>
    <t xml:space="preserve">ASPIRE MID SPARE LENS</t>
  </si>
  <si>
    <t xml:space="preserve">1100201220</t>
  </si>
  <si>
    <t xml:space="preserve">ASPIRE PHOTOCHROMIC LENS</t>
  </si>
  <si>
    <t xml:space="preserve">1102112000</t>
  </si>
  <si>
    <t xml:space="preserve">ASPIRE SPARE LENS</t>
  </si>
  <si>
    <t xml:space="preserve">1100211100</t>
  </si>
  <si>
    <t xml:space="preserve">ASPIRE WF JAPAN FIT</t>
  </si>
  <si>
    <t xml:space="preserve">1100201301</t>
  </si>
  <si>
    <t xml:space="preserve">CADENCE ARM WARMER</t>
  </si>
  <si>
    <t xml:space="preserve">1105822500</t>
  </si>
  <si>
    <t xml:space="preserve">CADENCE LEG WARMER</t>
  </si>
  <si>
    <t xml:space="preserve">1105822600</t>
  </si>
  <si>
    <t xml:space="preserve">CADENCE ROAD AIR SHORT SOCK</t>
  </si>
  <si>
    <t xml:space="preserve">1106516500</t>
  </si>
  <si>
    <t xml:space="preserve">CADENCE ROAD SHORT SOCKS</t>
  </si>
  <si>
    <t xml:space="preserve">1106516400</t>
  </si>
  <si>
    <t xml:space="preserve">CADENCE ROAD SOCKS</t>
  </si>
  <si>
    <t xml:space="preserve">1106516300</t>
  </si>
  <si>
    <t xml:space="preserve">COLUMN VPD BACKPACK 13L</t>
  </si>
  <si>
    <t xml:space="preserve">1102512300</t>
  </si>
  <si>
    <t xml:space="preserve">COLUMN VPD BACKPACK 8L</t>
  </si>
  <si>
    <t xml:space="preserve">1102512200</t>
  </si>
  <si>
    <t xml:space="preserve">CORON AIR MIPS</t>
  </si>
  <si>
    <t xml:space="preserve">1101074600</t>
  </si>
  <si>
    <t xml:space="preserve">CRANE MIPS</t>
  </si>
  <si>
    <t xml:space="preserve">1101082000</t>
  </si>
  <si>
    <t xml:space="preserve">CULARIS</t>
  </si>
  <si>
    <t xml:space="preserve">1101059100</t>
  </si>
  <si>
    <t xml:space="preserve">CULARIS PURE</t>
  </si>
  <si>
    <t xml:space="preserve">1101059300</t>
  </si>
  <si>
    <t xml:space="preserve">CYTAL</t>
  </si>
  <si>
    <t xml:space="preserve">1101081400</t>
  </si>
  <si>
    <t xml:space="preserve">CYTAL LITE</t>
  </si>
  <si>
    <t xml:space="preserve">1101084500</t>
  </si>
  <si>
    <t xml:space="preserve">DEVOUR ASIAN FIT Nose Piece</t>
  </si>
  <si>
    <t xml:space="preserve">1100110400</t>
  </si>
  <si>
    <t xml:space="preserve">DEVOUR MID</t>
  </si>
  <si>
    <t xml:space="preserve">1100101210</t>
  </si>
  <si>
    <t xml:space="preserve">DEVOUR MID SPARE LENS</t>
  </si>
  <si>
    <t xml:space="preserve">1100110600</t>
  </si>
  <si>
    <t xml:space="preserve">DEVOUR PHOTOCHROMIC LENS</t>
  </si>
  <si>
    <t xml:space="preserve">1101103000</t>
  </si>
  <si>
    <t xml:space="preserve">DEVOUR SPARE LENS</t>
  </si>
  <si>
    <t xml:space="preserve">1100210100</t>
  </si>
  <si>
    <t xml:space="preserve">DEVOUR WF JAPAN FIT+</t>
  </si>
  <si>
    <t xml:space="preserve">1100101400</t>
  </si>
  <si>
    <t xml:space="preserve">ELICIT PHOTOCHROMIC LENS</t>
  </si>
  <si>
    <t xml:space="preserve">1100110200</t>
  </si>
  <si>
    <t xml:space="preserve">ELICIT SPARE LENS</t>
  </si>
  <si>
    <t xml:space="preserve">1100200131</t>
  </si>
  <si>
    <t xml:space="preserve">ELICIT TORIC SPARE LENS</t>
  </si>
  <si>
    <t xml:space="preserve">1100120110</t>
  </si>
  <si>
    <t xml:space="preserve">ELICIT TORIC+</t>
  </si>
  <si>
    <t xml:space="preserve">1100100400</t>
  </si>
  <si>
    <t xml:space="preserve">ELICIT+</t>
  </si>
  <si>
    <t xml:space="preserve">1100200130</t>
  </si>
  <si>
    <t xml:space="preserve">HIP PACK HYDRO 4L</t>
  </si>
  <si>
    <t xml:space="preserve">1102512400</t>
  </si>
  <si>
    <t xml:space="preserve">JOINT VPD AIR KNEE</t>
  </si>
  <si>
    <t xml:space="preserve">1102044000</t>
  </si>
  <si>
    <t xml:space="preserve">JOINT VPD AIR SLEEVE</t>
  </si>
  <si>
    <t xml:space="preserve">1102047100</t>
  </si>
  <si>
    <t xml:space="preserve">KNOG x POC HELMET LIGHT</t>
  </si>
  <si>
    <t xml:space="preserve">1100704740</t>
  </si>
  <si>
    <t xml:space="preserve">KNOW</t>
  </si>
  <si>
    <t xml:space="preserve">1100901200</t>
  </si>
  <si>
    <t xml:space="preserve">KNOW POLARIZED</t>
  </si>
  <si>
    <t xml:space="preserve">1100901100</t>
  </si>
  <si>
    <t xml:space="preserve">KORTAL/KORTAL RACE MIPS ADJUSTMENT</t>
  </si>
  <si>
    <t xml:space="preserve">1107035500</t>
  </si>
  <si>
    <t xml:space="preserve">MOTION MTB SOCKS</t>
  </si>
  <si>
    <t xml:space="preserve">1106516900</t>
  </si>
  <si>
    <t xml:space="preserve">Ms MANTLE THERMAL HOODIE</t>
  </si>
  <si>
    <t xml:space="preserve">1105275800</t>
  </si>
  <si>
    <t xml:space="preserve">Ms MOTION AIR MTB SHORTS</t>
  </si>
  <si>
    <t xml:space="preserve">1105292400</t>
  </si>
  <si>
    <t xml:space="preserve">Ms MOTION AIR S/S MTB JERSEY</t>
  </si>
  <si>
    <t xml:space="preserve">1105234600</t>
  </si>
  <si>
    <t xml:space="preserve">Ms MOTION PANTS</t>
  </si>
  <si>
    <t xml:space="preserve">1105292900</t>
  </si>
  <si>
    <t xml:space="preserve">Ms MOTION RAIN JACKET</t>
  </si>
  <si>
    <t xml:space="preserve">1105232300</t>
  </si>
  <si>
    <t xml:space="preserve">Ms MOTION RAIN PANTS</t>
  </si>
  <si>
    <t xml:space="preserve">1105232500</t>
  </si>
  <si>
    <t xml:space="preserve">Ms MOTION WIND JACKET</t>
  </si>
  <si>
    <t xml:space="preserve">1105232400</t>
  </si>
  <si>
    <t xml:space="preserve">Ms PRO THERMAL VEST</t>
  </si>
  <si>
    <t xml:space="preserve">1105231800</t>
  </si>
  <si>
    <t xml:space="preserve">Ms REFORM ENDURO JERSEY</t>
  </si>
  <si>
    <t xml:space="preserve">1105290600</t>
  </si>
  <si>
    <t xml:space="preserve">Ms REFORM ENDURO TEE</t>
  </si>
  <si>
    <t xml:space="preserve">1105290500</t>
  </si>
  <si>
    <t xml:space="preserve">Ms SPINE VPD AIR VEST</t>
  </si>
  <si>
    <t xml:space="preserve">1100204500</t>
  </si>
  <si>
    <t xml:space="preserve">OMNE AIR WF MIPS</t>
  </si>
  <si>
    <t xml:space="preserve">1101077200</t>
  </si>
  <si>
    <t xml:space="preserve">OMNE LITE WF</t>
  </si>
  <si>
    <t xml:space="preserve">1101079300</t>
  </si>
  <si>
    <t xml:space="preserve">OMNE ULTRA MIPS</t>
  </si>
  <si>
    <t xml:space="preserve">1101086400</t>
  </si>
  <si>
    <t xml:space="preserve">ORA</t>
  </si>
  <si>
    <t xml:space="preserve">1104025100</t>
  </si>
  <si>
    <t xml:space="preserve">ORA DH</t>
  </si>
  <si>
    <t xml:space="preserve">1104025000</t>
  </si>
  <si>
    <t xml:space="preserve">ORA SPARE LENS</t>
  </si>
  <si>
    <t xml:space="preserve">1104124600</t>
  </si>
  <si>
    <t xml:space="preserve">OSEUS VPD ELBOW</t>
  </si>
  <si>
    <t xml:space="preserve">1102038200</t>
  </si>
  <si>
    <t xml:space="preserve">OSEUS VPD TORSO</t>
  </si>
  <si>
    <t xml:space="preserve">1102038100</t>
  </si>
  <si>
    <t xml:space="preserve">OTOCON RACE MIPS</t>
  </si>
  <si>
    <t xml:space="preserve">1101053000</t>
  </si>
  <si>
    <t xml:space="preserve">POC CLARITY SPARE LENS CASE</t>
  </si>
  <si>
    <t xml:space="preserve">1101107500</t>
  </si>
  <si>
    <t xml:space="preserve">POC CORP CAP JR</t>
  </si>
  <si>
    <t xml:space="preserve">1106005300</t>
  </si>
  <si>
    <t xml:space="preserve">POC TEE</t>
  </si>
  <si>
    <t xml:space="preserve">1100616500</t>
  </si>
  <si>
    <t xml:space="preserve">POC TRUCKER CAP</t>
  </si>
  <si>
    <t xml:space="preserve">1100600550</t>
  </si>
  <si>
    <t xml:space="preserve">POCITO JOINT VPD AIR PROTECTOR</t>
  </si>
  <si>
    <t xml:space="preserve">1102039800</t>
  </si>
  <si>
    <t xml:space="preserve">POCITO NEXAL</t>
  </si>
  <si>
    <t xml:space="preserve">1104006900</t>
  </si>
  <si>
    <t xml:space="preserve">POCITO OMNE MIPS</t>
  </si>
  <si>
    <t xml:space="preserve">1101073600</t>
  </si>
  <si>
    <t xml:space="preserve">POCITO OPSIN</t>
  </si>
  <si>
    <t xml:space="preserve">1100400680</t>
  </si>
  <si>
    <t xml:space="preserve">POCITO SKULL</t>
  </si>
  <si>
    <t xml:space="preserve">1101021000</t>
  </si>
  <si>
    <t xml:space="preserve">PROCEN</t>
  </si>
  <si>
    <t xml:space="preserve">1101061100</t>
  </si>
  <si>
    <t xml:space="preserve">PROCEN AIR</t>
  </si>
  <si>
    <t xml:space="preserve">1100108120</t>
  </si>
  <si>
    <t xml:space="preserve">PROCEN/PROCEN AIR HELMET CASE</t>
  </si>
  <si>
    <t xml:space="preserve">1101999000</t>
  </si>
  <si>
    <t xml:space="preserve">PROPEL SPARE LENS</t>
  </si>
  <si>
    <t xml:space="preserve">1101101000</t>
  </si>
  <si>
    <t xml:space="preserve">SAVANT MTB GLOVE</t>
  </si>
  <si>
    <t xml:space="preserve">1103037600</t>
  </si>
  <si>
    <t xml:space="preserve">SYNOVIA VPD SHORTS</t>
  </si>
  <si>
    <t xml:space="preserve">1102038700</t>
  </si>
  <si>
    <t xml:space="preserve">TECTAL RACE MIPS PAD KIT</t>
  </si>
  <si>
    <t xml:space="preserve">1107038000</t>
  </si>
  <si>
    <t xml:space="preserve">TEMPOR</t>
  </si>
  <si>
    <t xml:space="preserve">1100106120</t>
  </si>
  <si>
    <t xml:space="preserve">ULTRA BAR BAG 4L</t>
  </si>
  <si>
    <t xml:space="preserve">1102514300</t>
  </si>
  <si>
    <t xml:space="preserve">ULTRA FRAME BAG 3L</t>
  </si>
  <si>
    <t xml:space="preserve">1102513700</t>
  </si>
  <si>
    <t xml:space="preserve">ULTRA SADDLE BAG 7L</t>
  </si>
  <si>
    <t xml:space="preserve">1102513600</t>
  </si>
  <si>
    <t xml:space="preserve">ULTRA SADDLE POUCH 0.3L</t>
  </si>
  <si>
    <t xml:space="preserve">1102513800</t>
  </si>
  <si>
    <t xml:space="preserve">ULTRA SNACK BAG 1L</t>
  </si>
  <si>
    <t xml:space="preserve">1102514100</t>
  </si>
  <si>
    <t xml:space="preserve">ULTRA TOP TUBE BAG 0.7L</t>
  </si>
  <si>
    <t xml:space="preserve">1102514200</t>
  </si>
  <si>
    <t xml:space="preserve">ULTRA TOP TUBE BAG 1.7L</t>
  </si>
  <si>
    <t xml:space="preserve">1102513500</t>
  </si>
  <si>
    <t xml:space="preserve">VENTRAL / VENTRAL AIR ADJUSTMENT SYSTEM</t>
  </si>
  <si>
    <t xml:space="preserve">1107029000</t>
  </si>
  <si>
    <t xml:space="preserve">VENTRAL AIR WF MIPS</t>
  </si>
  <si>
    <t xml:space="preserve">1101076700</t>
  </si>
  <si>
    <t xml:space="preserve">VPD AIR SHINS</t>
  </si>
  <si>
    <t xml:space="preserve">1102047600</t>
  </si>
  <si>
    <t xml:space="preserve">VPD MAX ELBOW</t>
  </si>
  <si>
    <t xml:space="preserve">1102048200</t>
  </si>
  <si>
    <t xml:space="preserve">VPD MAX KNEE</t>
  </si>
  <si>
    <t xml:space="preserve">1102048300</t>
  </si>
  <si>
    <t xml:space="preserve">WANT</t>
  </si>
  <si>
    <t xml:space="preserve">1100701200</t>
  </si>
  <si>
    <t xml:space="preserve">WANT POLARIZED</t>
  </si>
  <si>
    <t xml:space="preserve">1100701100</t>
  </si>
  <si>
    <t xml:space="preserve">WILL</t>
  </si>
  <si>
    <t xml:space="preserve">1100801200</t>
  </si>
  <si>
    <t xml:space="preserve">WILL POLARIZED</t>
  </si>
  <si>
    <t xml:space="preserve">1100801100</t>
  </si>
  <si>
    <t xml:space="preserve">Ws MANTLE THERMAL HOODIE</t>
  </si>
  <si>
    <t xml:space="preserve">1105285300</t>
  </si>
  <si>
    <t xml:space="preserve">ZYGON</t>
  </si>
  <si>
    <t xml:space="preserve">1104027200</t>
  </si>
  <si>
    <t xml:space="preserve">/29 equaliser  Beanie</t>
  </si>
  <si>
    <t xml:space="preserve">1203517260</t>
  </si>
  <si>
    <t xml:space="preserve">arktis Gore-Tex Pro ousland edition Bibs (M)</t>
  </si>
  <si>
    <t xml:space="preserve">1205601260</t>
  </si>
  <si>
    <t xml:space="preserve">arktis Gore-Tex Pro ousland edition Jacket (M)</t>
  </si>
  <si>
    <t xml:space="preserve">1205600260</t>
  </si>
  <si>
    <t xml:space="preserve">falketind equaliser Ull Longs (M)</t>
  </si>
  <si>
    <t xml:space="preserve">1201956260</t>
  </si>
  <si>
    <t xml:space="preserve">falketind equaliser Ull Zip Neck (M)</t>
  </si>
  <si>
    <t xml:space="preserve">1201954260</t>
  </si>
  <si>
    <t xml:space="preserve">femund warm2 Jacket (M)</t>
  </si>
  <si>
    <t xml:space="preserve">1202673260</t>
  </si>
  <si>
    <t xml:space="preserve">femund warm2 Jacket (W)</t>
  </si>
  <si>
    <t xml:space="preserve">1202674260</t>
  </si>
  <si>
    <t xml:space="preserve">femund wool plain Shirt (M)</t>
  </si>
  <si>
    <t xml:space="preserve">1202643260</t>
  </si>
  <si>
    <t xml:space="preserve">lyngen thermo100 active Vest (M)</t>
  </si>
  <si>
    <t xml:space="preserve">1202040260</t>
  </si>
  <si>
    <t xml:space="preserve">lyngen thermo100 active Vest (W)</t>
  </si>
  <si>
    <t xml:space="preserve">1202042260</t>
  </si>
  <si>
    <t xml:space="preserve">lyngen thermo100 active Zip Hood (M)</t>
  </si>
  <si>
    <t xml:space="preserve">1202041260</t>
  </si>
  <si>
    <t xml:space="preserve">lyngen thermo100 active Zip Hood (W)</t>
  </si>
  <si>
    <t xml:space="preserve">1202043260</t>
  </si>
  <si>
    <t xml:space="preserve">tamok dri3 Bibs (M)</t>
  </si>
  <si>
    <t xml:space="preserve">1201201260</t>
  </si>
  <si>
    <t xml:space="preserve">tamok dri3 Bibs (W)</t>
  </si>
  <si>
    <t xml:space="preserve">1201203260</t>
  </si>
  <si>
    <t xml:space="preserve">tamok thermo80 Zip Hood (M)</t>
  </si>
  <si>
    <t xml:space="preserve">1201230260</t>
  </si>
  <si>
    <t xml:space="preserve">tamok thermo80 Zip Hood (W)</t>
  </si>
  <si>
    <t xml:space="preserve">1201232260</t>
  </si>
  <si>
    <t xml:space="preserve">tamok warm3 Jacket (M)</t>
  </si>
  <si>
    <t xml:space="preserve">1201240260</t>
  </si>
  <si>
    <t xml:space="preserve">tamok warm3 Jacket (W)</t>
  </si>
  <si>
    <t xml:space="preserve">1201242260</t>
  </si>
  <si>
    <t xml:space="preserve">trollveggen dri2 down800 Zip Hood (M)</t>
  </si>
  <si>
    <t xml:space="preserve">1201622260</t>
  </si>
  <si>
    <t xml:space="preserve">falketind Gore-Tex Jacket (M)</t>
  </si>
  <si>
    <t xml:space="preserve">1201834240</t>
  </si>
  <si>
    <t xml:space="preserve">falketind Gore-Tex Jacket (W)</t>
  </si>
  <si>
    <t xml:space="preserve">1201838240</t>
  </si>
  <si>
    <t xml:space="preserve">falketind Gore-Tex Pants (M)</t>
  </si>
  <si>
    <t xml:space="preserve">1201835240</t>
  </si>
  <si>
    <t xml:space="preserve">falketind Gore-Tex Pants (W)</t>
  </si>
  <si>
    <t xml:space="preserve">1201839240</t>
  </si>
  <si>
    <t xml:space="preserve">falketind aero60 Hood (M)</t>
  </si>
  <si>
    <t xml:space="preserve">1201810220</t>
  </si>
  <si>
    <t xml:space="preserve">falketind aero60 Hood (W)</t>
  </si>
  <si>
    <t xml:space="preserve">1201809220</t>
  </si>
  <si>
    <t xml:space="preserve">falketind down750 Hood (M)</t>
  </si>
  <si>
    <t xml:space="preserve">1201833200</t>
  </si>
  <si>
    <t xml:space="preserve">falketind down750 Hood (W)</t>
  </si>
  <si>
    <t xml:space="preserve">1201870200</t>
  </si>
  <si>
    <t xml:space="preserve">falketind down800 -10C Sleeping Bag 170</t>
  </si>
  <si>
    <t xml:space="preserve">1201822210</t>
  </si>
  <si>
    <t xml:space="preserve">falketind down800 -10C Sleeping Bag 185</t>
  </si>
  <si>
    <t xml:space="preserve">1201823210</t>
  </si>
  <si>
    <t xml:space="preserve">falketind down800 -18.5C Sleeping Bag 170</t>
  </si>
  <si>
    <t xml:space="preserve">1201825210</t>
  </si>
  <si>
    <t xml:space="preserve">falketind down800 -18.5C Sleeping Bag 185</t>
  </si>
  <si>
    <t xml:space="preserve">1201826210</t>
  </si>
  <si>
    <t xml:space="preserve">falketind down800 0C Sleeping Bag 170</t>
  </si>
  <si>
    <t xml:space="preserve">1201819210</t>
  </si>
  <si>
    <t xml:space="preserve">falketind down800 0C Sleeping Bag 185</t>
  </si>
  <si>
    <t xml:space="preserve">1201820210</t>
  </si>
  <si>
    <t xml:space="preserve">falketind down800 10C Sleeping Bag 170</t>
  </si>
  <si>
    <t xml:space="preserve">1201816210</t>
  </si>
  <si>
    <t xml:space="preserve">falketind down800 10C Sleeping Bag 185</t>
  </si>
  <si>
    <t xml:space="preserve">1201817210</t>
  </si>
  <si>
    <t xml:space="preserve">falketind dri1 Jacket (M)</t>
  </si>
  <si>
    <t xml:space="preserve">1201885250</t>
  </si>
  <si>
    <t xml:space="preserve">falketind dri1 Jacket (W)</t>
  </si>
  <si>
    <t xml:space="preserve">1201887250</t>
  </si>
  <si>
    <t xml:space="preserve">falketind dri1 Pants (M)</t>
  </si>
  <si>
    <t xml:space="preserve">1201886250</t>
  </si>
  <si>
    <t xml:space="preserve">falketind dri1 Pants (W)</t>
  </si>
  <si>
    <t xml:space="preserve">1201888250</t>
  </si>
  <si>
    <t xml:space="preserve">falketind econyl70 28L Pack</t>
  </si>
  <si>
    <t xml:space="preserve">1201809230</t>
  </si>
  <si>
    <t xml:space="preserve">falketind equaliser Long Sleeve (M)</t>
  </si>
  <si>
    <t xml:space="preserve">1201950250</t>
  </si>
  <si>
    <t xml:space="preserve">falketind equaliser Long Sleeve (W)</t>
  </si>
  <si>
    <t xml:space="preserve">1201952250</t>
  </si>
  <si>
    <t xml:space="preserve">falketind flex1 Pants (M)</t>
  </si>
  <si>
    <t xml:space="preserve">1201810200</t>
  </si>
  <si>
    <t xml:space="preserve">falketind flex1 Pants (W)</t>
  </si>
  <si>
    <t xml:space="preserve">1201861200</t>
  </si>
  <si>
    <t xml:space="preserve">falketind flex1 light Pants (M)</t>
  </si>
  <si>
    <t xml:space="preserve">1201891250</t>
  </si>
  <si>
    <t xml:space="preserve">falketind flex1 light Pants (W)</t>
  </si>
  <si>
    <t xml:space="preserve">1201892250</t>
  </si>
  <si>
    <t xml:space="preserve">falketind flex1 short Pants (M)</t>
  </si>
  <si>
    <t xml:space="preserve">1201827240</t>
  </si>
  <si>
    <t xml:space="preserve">falketind flex1 short Pants (W)</t>
  </si>
  <si>
    <t xml:space="preserve">1201861240</t>
  </si>
  <si>
    <t xml:space="preserve">falketind thermo40 Hood (M)</t>
  </si>
  <si>
    <t xml:space="preserve">1201814240</t>
  </si>
  <si>
    <t xml:space="preserve">falketind warm1 Active Jacket (M)</t>
  </si>
  <si>
    <t xml:space="preserve">1201895260</t>
  </si>
  <si>
    <t xml:space="preserve">falketind warm1 Active Jacket (W)</t>
  </si>
  <si>
    <t xml:space="preserve">1201896260</t>
  </si>
  <si>
    <t xml:space="preserve">falketind warm1 Hood (M)</t>
  </si>
  <si>
    <t xml:space="preserve">1201897260</t>
  </si>
  <si>
    <t xml:space="preserve">falketind warm1 Hood (W)</t>
  </si>
  <si>
    <t xml:space="preserve">1201898260</t>
  </si>
  <si>
    <t xml:space="preserve">falketind warm2 Jacket (M)</t>
  </si>
  <si>
    <t xml:space="preserve">1201891260</t>
  </si>
  <si>
    <t xml:space="preserve">falketind warm2 Jacket (W)</t>
  </si>
  <si>
    <t xml:space="preserve">1201892260</t>
  </si>
  <si>
    <t xml:space="preserve">falketind warm2 stretch Hood (M)</t>
  </si>
  <si>
    <t xml:space="preserve">1201842240</t>
  </si>
  <si>
    <t xml:space="preserve">falketind warm2 stretch Hood (W)</t>
  </si>
  <si>
    <t xml:space="preserve">1201845240</t>
  </si>
  <si>
    <t xml:space="preserve">falketind equaliser T-Shirt (M)</t>
  </si>
  <si>
    <t xml:space="preserve">1201951250</t>
  </si>
  <si>
    <t xml:space="preserve">falketind equaliser T-Shirt (W)</t>
  </si>
  <si>
    <t xml:space="preserve">1201953250</t>
  </si>
  <si>
    <t xml:space="preserve">falketind flex1 Shorts (M)</t>
  </si>
  <si>
    <t xml:space="preserve">1201813200</t>
  </si>
  <si>
    <t xml:space="preserve">falketind flex1 Shorts (W)</t>
  </si>
  <si>
    <t xml:space="preserve">1201860200</t>
  </si>
  <si>
    <t xml:space="preserve">falketind flex1 light Shorts (M)</t>
  </si>
  <si>
    <t xml:space="preserve">1201801240</t>
  </si>
  <si>
    <t xml:space="preserve">falketind flex1 light Shorts (W)</t>
  </si>
  <si>
    <t xml:space="preserve">1201802240</t>
  </si>
  <si>
    <t xml:space="preserve">falketind thermo80 Skirt (W)</t>
  </si>
  <si>
    <t xml:space="preserve">1201804230</t>
  </si>
  <si>
    <t xml:space="preserve">falketind warm2 stretch Shorts (W)</t>
  </si>
  <si>
    <t xml:space="preserve">1201819240</t>
  </si>
  <si>
    <t xml:space="preserve">femund cotton Polo Shirt (M)</t>
  </si>
  <si>
    <t xml:space="preserve">1202679250</t>
  </si>
  <si>
    <t xml:space="preserve">femund cotton Shirt (M)</t>
  </si>
  <si>
    <t xml:space="preserve">1202669250</t>
  </si>
  <si>
    <t xml:space="preserve">femund cotton heavy duty Pants (M)</t>
  </si>
  <si>
    <t xml:space="preserve">1202624240</t>
  </si>
  <si>
    <t xml:space="preserve">femund down700 Zip Hood (M)</t>
  </si>
  <si>
    <t xml:space="preserve">1202650250</t>
  </si>
  <si>
    <t xml:space="preserve">femund down700 Zip Hood (W)</t>
  </si>
  <si>
    <t xml:space="preserve">1202651250</t>
  </si>
  <si>
    <t xml:space="preserve">femund econyl70 15L Pack</t>
  </si>
  <si>
    <t xml:space="preserve">1205211220</t>
  </si>
  <si>
    <t xml:space="preserve">femund econyl70 20L Pack</t>
  </si>
  <si>
    <t xml:space="preserve">1205209220</t>
  </si>
  <si>
    <t xml:space="preserve">femund econyl70 6L Hip Pack</t>
  </si>
  <si>
    <t xml:space="preserve">1205210220</t>
  </si>
  <si>
    <t xml:space="preserve">femund flannel Shirt (M)</t>
  </si>
  <si>
    <t xml:space="preserve">1202640240</t>
  </si>
  <si>
    <t xml:space="preserve">femund flannel lightweight Shirt (M)</t>
  </si>
  <si>
    <t xml:space="preserve">1202690260</t>
  </si>
  <si>
    <t xml:space="preserve">femund flex1 lightweight Pants (M)</t>
  </si>
  <si>
    <t xml:space="preserve">1202685240</t>
  </si>
  <si>
    <t xml:space="preserve">femund flex1 lightweight Pants (W)</t>
  </si>
  <si>
    <t xml:space="preserve">1202691240</t>
  </si>
  <si>
    <t xml:space="preserve">femund flex1 tech Pants (M)</t>
  </si>
  <si>
    <t xml:space="preserve">1202700260</t>
  </si>
  <si>
    <t xml:space="preserve">femund flex1 tech Pants (W)</t>
  </si>
  <si>
    <t xml:space="preserve">1202701260</t>
  </si>
  <si>
    <t xml:space="preserve">femund mid cotton Pants (M)</t>
  </si>
  <si>
    <t xml:space="preserve">1202702260</t>
  </si>
  <si>
    <t xml:space="preserve">femund pureull Long Sleeve (M)</t>
  </si>
  <si>
    <t xml:space="preserve">1202773250</t>
  </si>
  <si>
    <t xml:space="preserve">femund pureull Long Sleeve (W)</t>
  </si>
  <si>
    <t xml:space="preserve">1202774250</t>
  </si>
  <si>
    <t xml:space="preserve">femund pureull Longs (M)</t>
  </si>
  <si>
    <t xml:space="preserve">1202777250</t>
  </si>
  <si>
    <t xml:space="preserve">femund pureull Longs (W)</t>
  </si>
  <si>
    <t xml:space="preserve">1202778250</t>
  </si>
  <si>
    <t xml:space="preserve">femund pureull Zip Neck (M)</t>
  </si>
  <si>
    <t xml:space="preserve">1202771250</t>
  </si>
  <si>
    <t xml:space="preserve">femund sweat Crew Neck (M/W)</t>
  </si>
  <si>
    <t xml:space="preserve">1202667250</t>
  </si>
  <si>
    <t xml:space="preserve">femund sweat Hood (M/W)</t>
  </si>
  <si>
    <t xml:space="preserve">1202668250</t>
  </si>
  <si>
    <t xml:space="preserve">femund tech Hood (M)</t>
  </si>
  <si>
    <t xml:space="preserve">1202760260</t>
  </si>
  <si>
    <t xml:space="preserve">femund tech Hood (W)</t>
  </si>
  <si>
    <t xml:space="preserve">1202761260</t>
  </si>
  <si>
    <t xml:space="preserve">femund tech Long sleeve (M)</t>
  </si>
  <si>
    <t xml:space="preserve">1202625240</t>
  </si>
  <si>
    <t xml:space="preserve">femund tech Long sleeve (W)</t>
  </si>
  <si>
    <t xml:space="preserve">1202630240</t>
  </si>
  <si>
    <t xml:space="preserve">femund thermo60 Zip Hood (M)</t>
  </si>
  <si>
    <t xml:space="preserve">1202660250</t>
  </si>
  <si>
    <t xml:space="preserve">femund thermo60 Zip Hood (W)</t>
  </si>
  <si>
    <t xml:space="preserve">1202661250</t>
  </si>
  <si>
    <t xml:space="preserve">femund flex1 light Shorts (M)</t>
  </si>
  <si>
    <t xml:space="preserve">1202716250</t>
  </si>
  <si>
    <t xml:space="preserve">femund flex1 light Shorts (W)</t>
  </si>
  <si>
    <t xml:space="preserve">1202717250</t>
  </si>
  <si>
    <t xml:space="preserve">femund mid cotton Shorts (M)</t>
  </si>
  <si>
    <t xml:space="preserve">1202703260</t>
  </si>
  <si>
    <t xml:space="preserve">femund pureull T-Shirt (M)</t>
  </si>
  <si>
    <t xml:space="preserve">1202775250</t>
  </si>
  <si>
    <t xml:space="preserve">femund tech T-Shirt (M)</t>
  </si>
  <si>
    <t xml:space="preserve">1202651240</t>
  </si>
  <si>
    <t xml:space="preserve">femund tech T-Shirt (W)</t>
  </si>
  <si>
    <t xml:space="preserve">1202664240</t>
  </si>
  <si>
    <t xml:space="preserve">lofoten 28L Pack (W)</t>
  </si>
  <si>
    <t xml:space="preserve">1201004220</t>
  </si>
  <si>
    <t xml:space="preserve">lofoten 30L Pack</t>
  </si>
  <si>
    <t xml:space="preserve">1201050200</t>
  </si>
  <si>
    <t xml:space="preserve">lofoten Gore-Tex Insulated short Pants (M)</t>
  </si>
  <si>
    <t xml:space="preserve">1201030250</t>
  </si>
  <si>
    <t xml:space="preserve">lofoten Gore-Tex Insulated short Pants (W)</t>
  </si>
  <si>
    <t xml:space="preserve">1201031250</t>
  </si>
  <si>
    <t xml:space="preserve">lofoten Gore-Tex Jacket (M)</t>
  </si>
  <si>
    <t xml:space="preserve">1201021240</t>
  </si>
  <si>
    <t xml:space="preserve">lofoten Gore-Tex Jacket (W)</t>
  </si>
  <si>
    <t xml:space="preserve">1201025240</t>
  </si>
  <si>
    <t xml:space="preserve">lofoten Gore-Tex Pants (M)</t>
  </si>
  <si>
    <t xml:space="preserve">1201022240</t>
  </si>
  <si>
    <t xml:space="preserve">lofoten Gore-Tex Pants (W)</t>
  </si>
  <si>
    <t xml:space="preserve">1201026240</t>
  </si>
  <si>
    <t xml:space="preserve">lofoten Gore-Tex Pro Jacket (M)</t>
  </si>
  <si>
    <t xml:space="preserve">1201006250</t>
  </si>
  <si>
    <t xml:space="preserve">lofoten Gore-Tex Pro Jacket (W)</t>
  </si>
  <si>
    <t xml:space="preserve">1201008250</t>
  </si>
  <si>
    <t xml:space="preserve">lofoten Gore-Tex Pro Pants (M)</t>
  </si>
  <si>
    <t xml:space="preserve">1201007250</t>
  </si>
  <si>
    <t xml:space="preserve">lofoten Gore-Tex Pro Pants (W)</t>
  </si>
  <si>
    <t xml:space="preserve">1201009250</t>
  </si>
  <si>
    <t xml:space="preserve">lofoten Gore-Tex Pro plus Pants (M)</t>
  </si>
  <si>
    <t xml:space="preserve">1201005250</t>
  </si>
  <si>
    <t xml:space="preserve">lofoten Gore-Tex insulated Jacket (W)</t>
  </si>
  <si>
    <t xml:space="preserve">1201023240</t>
  </si>
  <si>
    <t xml:space="preserve">lofoten Gore-Tex insulated Pants (M)</t>
  </si>
  <si>
    <t xml:space="preserve">1201020240</t>
  </si>
  <si>
    <t xml:space="preserve">lofoten Gore-Tex insulated Pants (W)</t>
  </si>
  <si>
    <t xml:space="preserve">1201024240</t>
  </si>
  <si>
    <t xml:space="preserve">lofoten dri1 PrimaLoft170 short Gloves</t>
  </si>
  <si>
    <t xml:space="preserve">1201062170</t>
  </si>
  <si>
    <t xml:space="preserve">lofoten flex1 Jacket (M)</t>
  </si>
  <si>
    <t xml:space="preserve">1201090250</t>
  </si>
  <si>
    <t xml:space="preserve">lofoten flex1 Pants (M)</t>
  </si>
  <si>
    <t xml:space="preserve">1201091250</t>
  </si>
  <si>
    <t xml:space="preserve">lofoten mid weight Merino Socks long</t>
  </si>
  <si>
    <t xml:space="preserve">1201064170</t>
  </si>
  <si>
    <t xml:space="preserve">lofoten warm2 Jacket (M)</t>
  </si>
  <si>
    <t xml:space="preserve">1201082250</t>
  </si>
  <si>
    <t xml:space="preserve">lofoten warm2 Jacket (W)</t>
  </si>
  <si>
    <t xml:space="preserve">1201083250</t>
  </si>
  <si>
    <t xml:space="preserve">trollveggen Gore-Tex Pro light Jacket (M)</t>
  </si>
  <si>
    <t xml:space="preserve">1201604250</t>
  </si>
  <si>
    <t xml:space="preserve">trollveggen Gore-Tex Pro light Jacket (W)</t>
  </si>
  <si>
    <t xml:space="preserve">1201606250</t>
  </si>
  <si>
    <t xml:space="preserve">trollveggen down800 Hood (M)</t>
  </si>
  <si>
    <t xml:space="preserve">1201606240</t>
  </si>
  <si>
    <t xml:space="preserve">trollveggen down800 Hood (W)</t>
  </si>
  <si>
    <t xml:space="preserve">1201608240</t>
  </si>
  <si>
    <t xml:space="preserve">trollveggen down850 -30C Sleeping Bag 185</t>
  </si>
  <si>
    <t xml:space="preserve">1201620230</t>
  </si>
  <si>
    <t xml:space="preserve">trollveggen superlight down800 Hood (M)</t>
  </si>
  <si>
    <t xml:space="preserve">1201614240</t>
  </si>
  <si>
    <t xml:space="preserve">trollveggen superlight down800 Jacket (M)</t>
  </si>
  <si>
    <t xml:space="preserve">1201613240</t>
  </si>
  <si>
    <t xml:space="preserve">trollveggen superlight down800 Jacket (W)</t>
  </si>
  <si>
    <t xml:space="preserve">1201616240</t>
  </si>
  <si>
    <t xml:space="preserve">trollveggen superlight down800 Vest (M)</t>
  </si>
  <si>
    <t xml:space="preserve">1201615240</t>
  </si>
  <si>
    <t xml:space="preserve">trollveggen superlight down800 Vest (W)</t>
  </si>
  <si>
    <t xml:space="preserve">1201618240</t>
  </si>
  <si>
    <t xml:space="preserve">trollveggen warm3 Jacket (M)</t>
  </si>
  <si>
    <t xml:space="preserve">1201682250</t>
  </si>
  <si>
    <t xml:space="preserve">trollveggen warm3 Jacket (W)</t>
  </si>
  <si>
    <t xml:space="preserve">1201683250</t>
  </si>
  <si>
    <t xml:space="preserve">trollveggen warm3 Vest (M)</t>
  </si>
  <si>
    <t xml:space="preserve">1201684250</t>
  </si>
  <si>
    <t xml:space="preserve">trollveggen warm3 Vest (W)</t>
  </si>
  <si>
    <t xml:space="preserve">1201685250</t>
  </si>
  <si>
    <t xml:space="preserve">trollveggen warm3 Zip hood (M)</t>
  </si>
  <si>
    <t xml:space="preserve">1201680250</t>
  </si>
  <si>
    <t xml:space="preserve">trollveggen warm3 Zip hood (W)</t>
  </si>
  <si>
    <t xml:space="preserve">1201681250</t>
  </si>
  <si>
    <t xml:space="preserve">trollveggen warmwool2 stretch Tights  (M)</t>
  </si>
  <si>
    <t xml:space="preserve">1201624190</t>
  </si>
  <si>
    <t xml:space="preserve">trollveggen warmwool2 stretch Tights  (W)</t>
  </si>
  <si>
    <t xml:space="preserve">1201629190</t>
  </si>
  <si>
    <t xml:space="preserve">2001730 NOAH</t>
  </si>
  <si>
    <t xml:space="preserve">1020017300</t>
  </si>
  <si>
    <t xml:space="preserve">2003000 JON</t>
  </si>
  <si>
    <t xml:space="preserve">1020030000</t>
  </si>
  <si>
    <t xml:space="preserve">2003570 GNEIS</t>
  </si>
  <si>
    <t xml:space="preserve">1020035700</t>
  </si>
  <si>
    <t xml:space="preserve">20210 DEERSKIN PRIMALOFT RIB</t>
  </si>
  <si>
    <t xml:space="preserve">1000202100</t>
  </si>
  <si>
    <t xml:space="preserve">3000660 WAKAYAMA</t>
  </si>
  <si>
    <t xml:space="preserve">1030006600</t>
  </si>
  <si>
    <t xml:space="preserve">3000661 WAKAYAMA MITT</t>
  </si>
  <si>
    <t xml:space="preserve">1030006610</t>
  </si>
  <si>
    <t xml:space="preserve">3000671 MIST MITT</t>
  </si>
  <si>
    <t xml:space="preserve">1030006710</t>
  </si>
  <si>
    <t xml:space="preserve">3000730 GORE-TEX ATLAS JR</t>
  </si>
  <si>
    <t xml:space="preserve">1030007300</t>
  </si>
  <si>
    <t xml:space="preserve">3000731 GORE-TEX ATLAS JR MITT</t>
  </si>
  <si>
    <t xml:space="preserve">1030007310</t>
  </si>
  <si>
    <t xml:space="preserve">3000780 FALL LINE</t>
  </si>
  <si>
    <t xml:space="preserve">1030007800</t>
  </si>
  <si>
    <t xml:space="preserve">3000781 FALL LINE MITT</t>
  </si>
  <si>
    <t xml:space="preserve">1030007810</t>
  </si>
  <si>
    <t xml:space="preserve">3000782 FALL LINE 3-FINGER</t>
  </si>
  <si>
    <t xml:space="preserve">1030007820</t>
  </si>
  <si>
    <t xml:space="preserve">3001620 ARMY LEATHER WOOL TERRY</t>
  </si>
  <si>
    <t xml:space="preserve">1030016200</t>
  </si>
  <si>
    <t xml:space="preserve">3001621 ARMY LEATHER WOOL TERRY  MITT</t>
  </si>
  <si>
    <t xml:space="preserve">1030016210</t>
  </si>
  <si>
    <t xml:space="preserve">3001830 XC PACE</t>
  </si>
  <si>
    <t xml:space="preserve">1030018300</t>
  </si>
  <si>
    <t xml:space="preserve">3001880  MONO WOOL</t>
  </si>
  <si>
    <t xml:space="preserve">1030018800</t>
  </si>
  <si>
    <t xml:space="preserve">3001881  MONO WOOL MITT</t>
  </si>
  <si>
    <t xml:space="preserve">1030018810</t>
  </si>
  <si>
    <t xml:space="preserve">3001970 COULOIR</t>
  </si>
  <si>
    <t xml:space="preserve">1030019700</t>
  </si>
  <si>
    <t xml:space="preserve">3001980 GSL RACE COMP</t>
  </si>
  <si>
    <t xml:space="preserve">1030019800</t>
  </si>
  <si>
    <t xml:space="preserve">3001981 GSL RACE COMP MITT</t>
  </si>
  <si>
    <t xml:space="preserve">1030019810</t>
  </si>
  <si>
    <t xml:space="preserve">3001982 GSL RACE COMP 3-FINGER</t>
  </si>
  <si>
    <t xml:space="preserve">1030019820</t>
  </si>
  <si>
    <t xml:space="preserve">3002080 WOMENS FALL LINE</t>
  </si>
  <si>
    <t xml:space="preserve">1030020800</t>
  </si>
  <si>
    <t xml:space="preserve">3002081 WOMENS FALL LINE MITT</t>
  </si>
  <si>
    <t xml:space="preserve">1030020810</t>
  </si>
  <si>
    <t xml:space="preserve">3002700 HEATER GAUNTLET</t>
  </si>
  <si>
    <t xml:space="preserve">1030027000</t>
  </si>
  <si>
    <t xml:space="preserve">3002740 GAUNTLET SR</t>
  </si>
  <si>
    <t xml:space="preserve">1030027400</t>
  </si>
  <si>
    <t xml:space="preserve">3002741 GAUNTLET SR MITT</t>
  </si>
  <si>
    <t xml:space="preserve">1030027410</t>
  </si>
  <si>
    <t xml:space="preserve">3002742 GAUNTLET SR 3-FINGER</t>
  </si>
  <si>
    <t xml:space="preserve">1030027420</t>
  </si>
  <si>
    <t xml:space="preserve">3002760 CZONE MAUNTAIN</t>
  </si>
  <si>
    <t xml:space="preserve">1030027600</t>
  </si>
  <si>
    <t xml:space="preserve">3002762 CZONE MAUNTAIN 3-FINGER</t>
  </si>
  <si>
    <t xml:space="preserve">1030027620</t>
  </si>
  <si>
    <t xml:space="preserve">3002820 ERGO GRIP CZONE VERNUM</t>
  </si>
  <si>
    <t xml:space="preserve">1030028200</t>
  </si>
  <si>
    <t xml:space="preserve">3002840 WAKAYAMA JR</t>
  </si>
  <si>
    <t xml:space="preserve">1030028400</t>
  </si>
  <si>
    <t xml:space="preserve">3002841 WAKAYAMA JR MITT</t>
  </si>
  <si>
    <t xml:space="preserve">1030028410</t>
  </si>
  <si>
    <t xml:space="preserve">3002850 STORM SHELL</t>
  </si>
  <si>
    <t xml:space="preserve">1030028500</t>
  </si>
  <si>
    <t xml:space="preserve">3003022 ARMY LEATHER GORE-TEX 3-FINGER</t>
  </si>
  <si>
    <t xml:space="preserve">1030030220</t>
  </si>
  <si>
    <t xml:space="preserve">3003111 reMIX MITT</t>
  </si>
  <si>
    <t xml:space="preserve">1030031110</t>
  </si>
  <si>
    <t xml:space="preserve">3003320 WINDBREAKER LINER LIGHT</t>
  </si>
  <si>
    <t xml:space="preserve">1030033200</t>
  </si>
  <si>
    <t xml:space="preserve">3003351 PAW MITT</t>
  </si>
  <si>
    <t xml:space="preserve">1030033510</t>
  </si>
  <si>
    <t xml:space="preserve">3003360 FLEXTRON MOTION SHORT</t>
  </si>
  <si>
    <t xml:space="preserve">1030033600</t>
  </si>
  <si>
    <t xml:space="preserve">3003420 EXPEDITION LINER 5-F</t>
  </si>
  <si>
    <t xml:space="preserve">1030034200</t>
  </si>
  <si>
    <t xml:space="preserve">3003490 GRAVITA MERINO LINER</t>
  </si>
  <si>
    <t xml:space="preserve">1030034900</t>
  </si>
  <si>
    <t xml:space="preserve">3003600 VEMDALEN CZONE</t>
  </si>
  <si>
    <t xml:space="preserve">1030036000</t>
  </si>
  <si>
    <t xml:space="preserve">3003601 VEMDALEN CZONE MITT</t>
  </si>
  <si>
    <t xml:space="preserve">1030036010</t>
  </si>
  <si>
    <t xml:space="preserve">3003641 SEAM SEALD SHELL MITT</t>
  </si>
  <si>
    <t xml:space="preserve">1030036410</t>
  </si>
  <si>
    <t xml:space="preserve">3003650 ERGO GRIP HDRY DESCENT</t>
  </si>
  <si>
    <t xml:space="preserve">1030036500</t>
  </si>
  <si>
    <t xml:space="preserve">3003680 ERGO GRIP WOOL TOURING</t>
  </si>
  <si>
    <t xml:space="preserve">1030036800</t>
  </si>
  <si>
    <t xml:space="preserve">3003701 SAREK OVER MITT</t>
  </si>
  <si>
    <t xml:space="preserve">1030037010</t>
  </si>
  <si>
    <t xml:space="preserve">3003920 HELI MISTRAL JR</t>
  </si>
  <si>
    <t xml:space="preserve">1030039200</t>
  </si>
  <si>
    <t xml:space="preserve">3003921 HELI MISTRAL JR MITT</t>
  </si>
  <si>
    <t xml:space="preserve">1030039210</t>
  </si>
  <si>
    <t xml:space="preserve">3003931 WINDBREAKER PULL OVER MITT</t>
  </si>
  <si>
    <t xml:space="preserve">1030039310</t>
  </si>
  <si>
    <t xml:space="preserve">3003970 HEATED LINER</t>
  </si>
  <si>
    <t xml:space="preserve">1030039700</t>
  </si>
  <si>
    <t xml:space="preserve">3004112 TOPO GTX 3-FINGER</t>
  </si>
  <si>
    <t xml:space="preserve">1030041120</t>
  </si>
  <si>
    <t xml:space="preserve">30190 VERTICAL CUT CZONE</t>
  </si>
  <si>
    <t xml:space="preserve">1000301900</t>
  </si>
  <si>
    <t xml:space="preserve">71000301900</t>
  </si>
  <si>
    <t xml:space="preserve">30192 VERTICAL CUT CZONE 3-FINGER</t>
  </si>
  <si>
    <t xml:space="preserve">1000301920</t>
  </si>
  <si>
    <t xml:space="preserve">30430 OMNI</t>
  </si>
  <si>
    <t xml:space="preserve">1000304300</t>
  </si>
  <si>
    <t xml:space="preserve">30570 HELI SKI</t>
  </si>
  <si>
    <t xml:space="preserve">1000305700</t>
  </si>
  <si>
    <t xml:space="preserve">30571 HELI SKI MITT</t>
  </si>
  <si>
    <t xml:space="preserve">1000305710</t>
  </si>
  <si>
    <t xml:space="preserve">30572 HELI SKI 3-FINGER</t>
  </si>
  <si>
    <t xml:space="preserve">1000305720</t>
  </si>
  <si>
    <t xml:space="preserve">30592 ARMY LEATHER PATROL 3-FINGER</t>
  </si>
  <si>
    <t xml:space="preserve">1000305920</t>
  </si>
  <si>
    <t xml:space="preserve">30830 ERGO GRIP INCLINE</t>
  </si>
  <si>
    <t xml:space="preserve">1000308300</t>
  </si>
  <si>
    <t xml:space="preserve">30850 ERGO GRIP TACTILE SHORT</t>
  </si>
  <si>
    <t xml:space="preserve">1000308500</t>
  </si>
  <si>
    <t xml:space="preserve">30872 3-FINGER FULL LEATHER</t>
  </si>
  <si>
    <t xml:space="preserve">1000308720</t>
  </si>
  <si>
    <t xml:space="preserve">31190 ERGO GRIP ACTIVE WOOL</t>
  </si>
  <si>
    <t xml:space="preserve">1000311900</t>
  </si>
  <si>
    <t xml:space="preserve">31220 HIGHLAND GLOVE</t>
  </si>
  <si>
    <t xml:space="preserve">1000312200</t>
  </si>
  <si>
    <t xml:space="preserve">31221 HIGHLAND MITT</t>
  </si>
  <si>
    <t xml:space="preserve">1000312210</t>
  </si>
  <si>
    <t xml:space="preserve">31520 VOSS CZONE</t>
  </si>
  <si>
    <t xml:space="preserve">1000315200</t>
  </si>
  <si>
    <t xml:space="preserve">31521 VOSS CZONE MITT</t>
  </si>
  <si>
    <t xml:space="preserve">1000315210</t>
  </si>
  <si>
    <t xml:space="preserve">31650 POWDER GAUNTLET</t>
  </si>
  <si>
    <t xml:space="preserve">1000316500</t>
  </si>
  <si>
    <t xml:space="preserve">31652 POWDER GAUNTLET  3-FINGER</t>
  </si>
  <si>
    <t xml:space="preserve">1000316520</t>
  </si>
  <si>
    <t xml:space="preserve">31741 IMPACT RACING JR MITT</t>
  </si>
  <si>
    <t xml:space="preserve">1000317410</t>
  </si>
  <si>
    <t xml:space="preserve">31750 IMPACT RACING</t>
  </si>
  <si>
    <t xml:space="preserve">1000317500</t>
  </si>
  <si>
    <t xml:space="preserve">31751 IMPACT RACING MITT</t>
  </si>
  <si>
    <t xml:space="preserve">1000317510</t>
  </si>
  <si>
    <t xml:space="preserve">31910 OMNI GTX FULL LEATHER</t>
  </si>
  <si>
    <t xml:space="preserve">1000319100</t>
  </si>
  <si>
    <t xml:space="preserve">32110 CZONE CONTACT GLOVE</t>
  </si>
  <si>
    <t xml:space="preserve">1000321100</t>
  </si>
  <si>
    <t xml:space="preserve">32140 ERGO GRIP TACTILITY</t>
  </si>
  <si>
    <t xml:space="preserve">1000321400</t>
  </si>
  <si>
    <t xml:space="preserve">32530 GAUNTLET CZONE JR</t>
  </si>
  <si>
    <t xml:space="preserve">1000325300</t>
  </si>
  <si>
    <t xml:space="preserve">32531 GANTLET CZONE MITT JR</t>
  </si>
  <si>
    <t xml:space="preserve">1000325310</t>
  </si>
  <si>
    <t xml:space="preserve">32532 GANTLET CZONE 3-FINGER JR</t>
  </si>
  <si>
    <t xml:space="preserve">1000325320</t>
  </si>
  <si>
    <t xml:space="preserve">32950 ERGO GRIP ACTIVE</t>
  </si>
  <si>
    <t xml:space="preserve">1000329500</t>
  </si>
  <si>
    <t xml:space="preserve">32990 FEROX PRIMALOFT JR</t>
  </si>
  <si>
    <t xml:space="preserve">1000329900</t>
  </si>
  <si>
    <t xml:space="preserve">32991 FEROX PRIMALOFT MITT JR</t>
  </si>
  <si>
    <t xml:space="preserve">1000329910</t>
  </si>
  <si>
    <t xml:space="preserve">33872 TOPO 3-FINGER</t>
  </si>
  <si>
    <t xml:space="preserve">1000338720</t>
  </si>
  <si>
    <t xml:space="preserve">1000338721</t>
  </si>
  <si>
    <t xml:space="preserve">71000338720</t>
  </si>
  <si>
    <t xml:space="preserve">3400660 WAKAYAMA WOOL LINER</t>
  </si>
  <si>
    <t xml:space="preserve">1034006600</t>
  </si>
  <si>
    <t xml:space="preserve">3400661 WAKAYAMA MITT WOOL LINER</t>
  </si>
  <si>
    <t xml:space="preserve">1034006610</t>
  </si>
  <si>
    <t xml:space="preserve">3400720 GAUNTLET FLEECE LINER</t>
  </si>
  <si>
    <t xml:space="preserve">1034007200</t>
  </si>
  <si>
    <t xml:space="preserve">34030 WOOL PILE/TERRY LINER SHORT</t>
  </si>
  <si>
    <t xml:space="preserve">1000340300</t>
  </si>
  <si>
    <t xml:space="preserve">34070 HELI SKI LINER</t>
  </si>
  <si>
    <t xml:space="preserve">1000340700</t>
  </si>
  <si>
    <t xml:space="preserve">34250 WINDSHIELD LINER</t>
  </si>
  <si>
    <t xml:space="preserve">1000342500</t>
  </si>
  <si>
    <t xml:space="preserve">34270 WOOL PILE/TERRY LINER</t>
  </si>
  <si>
    <t xml:space="preserve">1000342700</t>
  </si>
  <si>
    <t xml:space="preserve">34370 TOUCH POINT ACTIVE</t>
  </si>
  <si>
    <t xml:space="preserve">1000343700</t>
  </si>
  <si>
    <t xml:space="preserve">34380 TOUCH POINT WOOL DRY</t>
  </si>
  <si>
    <t xml:space="preserve">1000343800</t>
  </si>
  <si>
    <t xml:space="preserve">34390 TOUCH POINT WARMTH</t>
  </si>
  <si>
    <t xml:space="preserve">1000343900</t>
  </si>
  <si>
    <t xml:space="preserve">34400 HELI SKI WOOL LINER</t>
  </si>
  <si>
    <t xml:space="preserve">1000344000</t>
  </si>
  <si>
    <t xml:space="preserve">34420 PATROL LINER</t>
  </si>
  <si>
    <t xml:space="preserve">1000344200</t>
  </si>
  <si>
    <t xml:space="preserve">35061 HYDRA SEAM SEALED</t>
  </si>
  <si>
    <t xml:space="preserve">1000350610</t>
  </si>
  <si>
    <t xml:space="preserve">35091 EXPEDITION MITT</t>
  </si>
  <si>
    <t xml:space="preserve">1000350910</t>
  </si>
  <si>
    <t xml:space="preserve">35111 PULL OVER MITT</t>
  </si>
  <si>
    <t xml:space="preserve">1000351110</t>
  </si>
  <si>
    <t xml:space="preserve">35161 EXTREME MITT</t>
  </si>
  <si>
    <t xml:space="preserve">1000351610</t>
  </si>
  <si>
    <t xml:space="preserve">35201 SEAM SEALED MITT</t>
  </si>
  <si>
    <t xml:space="preserve">1000352010</t>
  </si>
  <si>
    <t xml:space="preserve">36421 BABY ZIP PRIMALOFT LONG</t>
  </si>
  <si>
    <t xml:space="preserve">1000364210</t>
  </si>
  <si>
    <t xml:space="preserve">36921 MY FIRST</t>
  </si>
  <si>
    <t xml:space="preserve">1000369210</t>
  </si>
  <si>
    <t xml:space="preserve">37170 WINDBREAKER TOUR</t>
  </si>
  <si>
    <t xml:space="preserve">1000371700</t>
  </si>
  <si>
    <t xml:space="preserve">37290 XC MOMENTUM</t>
  </si>
  <si>
    <t xml:space="preserve">1000372900</t>
  </si>
  <si>
    <t xml:space="preserve">6000951 NORDIC JR MITT</t>
  </si>
  <si>
    <t xml:space="preserve">1060009510</t>
  </si>
  <si>
    <t xml:space="preserve">6000981 EXPEDITION WOOL MITT</t>
  </si>
  <si>
    <t xml:space="preserve">1060009810</t>
  </si>
  <si>
    <t xml:space="preserve">6001061 ISVIK MITT</t>
  </si>
  <si>
    <t xml:space="preserve">1060010610</t>
  </si>
  <si>
    <t xml:space="preserve">6001741 DALE MITT</t>
  </si>
  <si>
    <t xml:space="preserve">1060017410</t>
  </si>
  <si>
    <t xml:space="preserve">6002660 RAGGWOOL GLOVE</t>
  </si>
  <si>
    <t xml:space="preserve">1060026600</t>
  </si>
  <si>
    <t xml:space="preserve">6002670 RAGGWOOL HALF FINGER</t>
  </si>
  <si>
    <t xml:space="preserve">1060026700</t>
  </si>
  <si>
    <t xml:space="preserve">60591 KIDS NORDIC MITT</t>
  </si>
  <si>
    <t xml:space="preserve">1000605910</t>
  </si>
  <si>
    <t xml:space="preserve">63660 BASIC  WOOL GLOVE</t>
  </si>
  <si>
    <t xml:space="preserve">1000636600</t>
  </si>
  <si>
    <t xml:space="preserve">63661 BASIC WOOL MITT</t>
  </si>
  <si>
    <t xml:space="preserve">1000636610</t>
  </si>
  <si>
    <t xml:space="preserve">63921 NORDIC WOOL MITT</t>
  </si>
  <si>
    <t xml:space="preserve">1000639210</t>
  </si>
  <si>
    <t xml:space="preserve">91700 LEATHER BALM</t>
  </si>
  <si>
    <t xml:space="preserve">1000917000</t>
  </si>
  <si>
    <t xml:space="preserve">91842 HAND CUFF JR</t>
  </si>
  <si>
    <t xml:space="preserve">1000918420</t>
  </si>
  <si>
    <t xml:space="preserve">91871 HAND CUFF WIDE</t>
  </si>
  <si>
    <t xml:space="preserve">1000918710</t>
  </si>
  <si>
    <t xml:space="preserve">91881 HAND CUFF</t>
  </si>
  <si>
    <t xml:space="preserve">1000918810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</si>
</sst>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0000"/>
      <name val="WenQuanYi Zen Hei"/>
      <family val="2"/>
    </font>
    <font>
      <sz val="10"/>
      <color rgb="FF8A5A00"/>
      <name val="WenQuanYi Zen Hei"/>
      <family val="2"/>
    </font>
    <font>
      <sz val="10"/>
      <color rgb="FF8A5A00"/>
      <name val="Arial"/>
      <family val="0"/>
      <charset val="1"/>
    </font>
    <font>
      <b val="true"/>
      <sz val="12"/>
      <color rgb="FF000000"/>
      <name val="WenQuanYi Zen Hei"/>
      <family val="2"/>
    </font>
    <font>
      <sz val="10"/>
      <color rgb="FF000000"/>
      <name val="Arial"/>
      <family val="0"/>
      <charset val="1"/>
    </font>
    <font>
      <sz val="10"/>
      <color rgb="FF000000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WenQuanYi Zen Hei"/>
      <family val="2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99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1F5B4A"/>
        <bgColor rgb="FF1F4E99"/>
      </patternFill>
    </fill>
    <fill>
      <patternFill patternType="solid">
        <fgColor rgb="FFFFFF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5B4A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4E99"/>
          <bgColor rgb="FF000000"/>
        </patternFill>
      </fill>
    </dxf>
    <dxf>
      <fill>
        <patternFill patternType="solid">
          <fgColor rgb="FFFFFFE0"/>
          <bgColor rgb="FF000000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EDEDED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0"/>
      <rgbColor rgb="FF800080"/>
      <rgbColor rgb="FF008080"/>
      <rgbColor rgb="FFBFBFBF"/>
      <rgbColor rgb="FF808080"/>
      <rgbColor rgb="FF9999FF"/>
      <rgbColor rgb="FF993366"/>
      <rgbColor rgb="FFFFFFE0"/>
      <rgbColor rgb="FFDDEBF7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2C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99"/>
      <rgbColor rgb="FF1F5B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fullmarksstore.jp/item/1308100790.html" TargetMode="External"/><Relationship Id="rId2" Type="http://schemas.openxmlformats.org/officeDocument/2006/relationships/hyperlink" Target="https://www.fullmarksstore.jp/item/1308400960.html" TargetMode="External"/><Relationship Id="rId3" Type="http://schemas.openxmlformats.org/officeDocument/2006/relationships/hyperlink" Target="https://www.fullmarksstore.jp/item/1308100830.html" TargetMode="External"/><Relationship Id="rId4" Type="http://schemas.openxmlformats.org/officeDocument/2006/relationships/hyperlink" Target="https://www.fullmarksstore.jp/item/1308600890.html" TargetMode="External"/><Relationship Id="rId5" Type="http://schemas.openxmlformats.org/officeDocument/2006/relationships/hyperlink" Target="https://www.fullmarksstore.jp/item/1308400910.html" TargetMode="External"/><Relationship Id="rId6" Type="http://schemas.openxmlformats.org/officeDocument/2006/relationships/hyperlink" Target="https://www.fullmarksstore.jp/item/1308600610.html" TargetMode="External"/><Relationship Id="rId7" Type="http://schemas.openxmlformats.org/officeDocument/2006/relationships/hyperlink" Target="https://www.fullmarksstore.jp/item/1308400890.html" TargetMode="External"/><Relationship Id="rId8" Type="http://schemas.openxmlformats.org/officeDocument/2006/relationships/hyperlink" Target="https://www.fullmarksstore.jp/item/1308300750.html" TargetMode="External"/><Relationship Id="rId9" Type="http://schemas.openxmlformats.org/officeDocument/2006/relationships/hyperlink" Target="https://www.fullmarksstore.jp/item/1308300730.html" TargetMode="External"/><Relationship Id="rId10" Type="http://schemas.openxmlformats.org/officeDocument/2006/relationships/hyperlink" Target="https://www.fullmarksstore.jp/item/1308300850.html" TargetMode="External"/><Relationship Id="rId11" Type="http://schemas.openxmlformats.org/officeDocument/2006/relationships/hyperlink" Target="https://www.fullmarksstore.jp/item/1308600870.html" TargetMode="External"/><Relationship Id="rId12" Type="http://schemas.openxmlformats.org/officeDocument/2006/relationships/hyperlink" Target="https://www.fullmarksstore.jp/item/1308400810.html" TargetMode="External"/><Relationship Id="rId13" Type="http://schemas.openxmlformats.org/officeDocument/2006/relationships/hyperlink" Target="https://www.fullmarksstore.jp/item/1308400830.html" TargetMode="External"/><Relationship Id="rId14" Type="http://schemas.openxmlformats.org/officeDocument/2006/relationships/hyperlink" Target="https://www.fullmarksstore.jp/item/1308400850.html" TargetMode="External"/><Relationship Id="rId15" Type="http://schemas.openxmlformats.org/officeDocument/2006/relationships/hyperlink" Target="https://www.fullmarksstore.jp/item/1308100720.html" TargetMode="External"/><Relationship Id="rId16" Type="http://schemas.openxmlformats.org/officeDocument/2006/relationships/hyperlink" Target="https://www.fullmarksstore.jp/item/1308100740.html" TargetMode="External"/><Relationship Id="rId17" Type="http://schemas.openxmlformats.org/officeDocument/2006/relationships/hyperlink" Target="https://www.fullmarksstore.jp/item/1308100700.html" TargetMode="External"/><Relationship Id="rId18" Type="http://schemas.openxmlformats.org/officeDocument/2006/relationships/hyperlink" Target="https://www.fullmarksstore.jp/item/1308100680.html" TargetMode="External"/><Relationship Id="rId19" Type="http://schemas.openxmlformats.org/officeDocument/2006/relationships/hyperlink" Target="https://www.fullmarksstore.jp/item/1308200420.html" TargetMode="External"/><Relationship Id="rId20" Type="http://schemas.openxmlformats.org/officeDocument/2006/relationships/hyperlink" Target="https://www.fullmarksstore.jp/item/1308500550.html" TargetMode="External"/><Relationship Id="rId21" Type="http://schemas.openxmlformats.org/officeDocument/2006/relationships/hyperlink" Target="https://www.fullmarksstore.jp/item/1308500560.html" TargetMode="External"/><Relationship Id="rId22" Type="http://schemas.openxmlformats.org/officeDocument/2006/relationships/hyperlink" Target="https://www.fullmarksstore.jp/item/1308600900.html" TargetMode="External"/><Relationship Id="rId23" Type="http://schemas.openxmlformats.org/officeDocument/2006/relationships/hyperlink" Target="https://www.fullmarksstore.jp/item/1308600930.html" TargetMode="External"/><Relationship Id="rId24" Type="http://schemas.openxmlformats.org/officeDocument/2006/relationships/hyperlink" Target="https://www.fullmarksstore.jp/item/1308400920.html" TargetMode="External"/><Relationship Id="rId25" Type="http://schemas.openxmlformats.org/officeDocument/2006/relationships/hyperlink" Target="https://www.fullmarksstore.jp/item/1308600620.html" TargetMode="External"/><Relationship Id="rId26" Type="http://schemas.openxmlformats.org/officeDocument/2006/relationships/hyperlink" Target="https://www.fullmarksstore.jp/item/1308400900.html" TargetMode="External"/><Relationship Id="rId27" Type="http://schemas.openxmlformats.org/officeDocument/2006/relationships/hyperlink" Target="https://www.fullmarksstore.jp/item/1308300760.html" TargetMode="External"/><Relationship Id="rId28" Type="http://schemas.openxmlformats.org/officeDocument/2006/relationships/hyperlink" Target="https://www.fullmarksstore.jp/item/1308300840.html" TargetMode="External"/><Relationship Id="rId29" Type="http://schemas.openxmlformats.org/officeDocument/2006/relationships/hyperlink" Target="https://www.fullmarksstore.jp/item/1308400820.html" TargetMode="External"/><Relationship Id="rId30" Type="http://schemas.openxmlformats.org/officeDocument/2006/relationships/hyperlink" Target="https://www.fullmarksstore.jp/item/1308400860.html" TargetMode="External"/><Relationship Id="rId31" Type="http://schemas.openxmlformats.org/officeDocument/2006/relationships/hyperlink" Target="https://www.fullmarksstore.jp/item/1308100730.html" TargetMode="External"/><Relationship Id="rId32" Type="http://schemas.openxmlformats.org/officeDocument/2006/relationships/hyperlink" Target="https://www.fullmarksstore.jp/item/1308100750.html" TargetMode="External"/><Relationship Id="rId33" Type="http://schemas.openxmlformats.org/officeDocument/2006/relationships/hyperlink" Target="https://www.fullmarksstore.jp/item/1308100690.html" TargetMode="External"/><Relationship Id="rId34" Type="http://schemas.openxmlformats.org/officeDocument/2006/relationships/hyperlink" Target="https://www.fullmarksstore.jp/item/1308200410.html" TargetMode="External"/><Relationship Id="rId35" Type="http://schemas.openxmlformats.org/officeDocument/2006/relationships/hyperlink" Target="https://www.fullmarksstore.jp/item/1303382240.html" TargetMode="External"/><Relationship Id="rId36" Type="http://schemas.openxmlformats.org/officeDocument/2006/relationships/hyperlink" Target="https://www.fullmarksstore.jp/item/1303303540.html" TargetMode="External"/><Relationship Id="rId37" Type="http://schemas.openxmlformats.org/officeDocument/2006/relationships/hyperlink" Target="https://www.fullmarksstore.jp/item/1303702940.html" TargetMode="External"/><Relationship Id="rId38" Type="http://schemas.openxmlformats.org/officeDocument/2006/relationships/hyperlink" Target="https://www.fullmarksstore.jp/item/1308500310.html" TargetMode="External"/><Relationship Id="rId39" Type="http://schemas.openxmlformats.org/officeDocument/2006/relationships/hyperlink" Target="https://www.fullmarksstore.jp/item/1308500060.html" TargetMode="External"/><Relationship Id="rId40" Type="http://schemas.openxmlformats.org/officeDocument/2006/relationships/hyperlink" Target="https://www.fullmarksstore.jp/item/1308500380.html" TargetMode="External"/><Relationship Id="rId41" Type="http://schemas.openxmlformats.org/officeDocument/2006/relationships/hyperlink" Target="https://www.fullmarksstore.jp/item/1308500330.html" TargetMode="External"/><Relationship Id="rId42" Type="http://schemas.openxmlformats.org/officeDocument/2006/relationships/hyperlink" Target="https://www.fullmarksstore.jp/item/1302300540.html" TargetMode="External"/><Relationship Id="rId43" Type="http://schemas.openxmlformats.org/officeDocument/2006/relationships/hyperlink" Target="https://www.fullmarksstore.jp/item/1302202340.html" TargetMode="External"/><Relationship Id="rId44" Type="http://schemas.openxmlformats.org/officeDocument/2006/relationships/hyperlink" Target="https://www.fullmarksstore.jp/item/1308400310.html" TargetMode="External"/><Relationship Id="rId45" Type="http://schemas.openxmlformats.org/officeDocument/2006/relationships/hyperlink" Target="https://www.fullmarksstore.jp/item/1308300350.html" TargetMode="External"/><Relationship Id="rId46" Type="http://schemas.openxmlformats.org/officeDocument/2006/relationships/hyperlink" Target="https://www.fullmarksstore.jp/item/1308100370.html" TargetMode="External"/><Relationship Id="rId47" Type="http://schemas.openxmlformats.org/officeDocument/2006/relationships/hyperlink" Target="https://www.fullmarksstore.jp/item/1308100490.html" TargetMode="External"/><Relationship Id="rId48" Type="http://schemas.openxmlformats.org/officeDocument/2006/relationships/hyperlink" Target="https://www.fullmarksstore.jp/item/1308300570.html" TargetMode="External"/><Relationship Id="rId49" Type="http://schemas.openxmlformats.org/officeDocument/2006/relationships/hyperlink" Target="https://www.fullmarksstore.jp/item/1308200160.html" TargetMode="External"/><Relationship Id="rId50" Type="http://schemas.openxmlformats.org/officeDocument/2006/relationships/hyperlink" Target="https://www.fullmarksstore.jp/item/1308200070.html" TargetMode="External"/><Relationship Id="rId51" Type="http://schemas.openxmlformats.org/officeDocument/2006/relationships/hyperlink" Target="https://www.fullmarksstore.jp/item/1308200270.html" TargetMode="External"/><Relationship Id="rId52" Type="http://schemas.openxmlformats.org/officeDocument/2006/relationships/hyperlink" Target="https://www.fullmarksstore.jp/item/1308200240.html" TargetMode="External"/><Relationship Id="rId53" Type="http://schemas.openxmlformats.org/officeDocument/2006/relationships/hyperlink" Target="https://www.fullmarksstore.jp/item/1302087940.html" TargetMode="External"/><Relationship Id="rId54" Type="http://schemas.openxmlformats.org/officeDocument/2006/relationships/hyperlink" Target="https://www.fullmarksstore.jp/item/1308300610.html" TargetMode="External"/><Relationship Id="rId55" Type="http://schemas.openxmlformats.org/officeDocument/2006/relationships/hyperlink" Target="https://www.fullmarksstore.jp/item/1308300650.html" TargetMode="External"/><Relationship Id="rId56" Type="http://schemas.openxmlformats.org/officeDocument/2006/relationships/hyperlink" Target="https://www.fullmarksstore.jp/item/1308300320.html" TargetMode="External"/><Relationship Id="rId57" Type="http://schemas.openxmlformats.org/officeDocument/2006/relationships/hyperlink" Target="https://www.fullmarksstore.jp/item/1308100390.html" TargetMode="External"/><Relationship Id="rId58" Type="http://schemas.openxmlformats.org/officeDocument/2006/relationships/hyperlink" Target="https://www.fullmarksstore.jp/item/1308300470.html" TargetMode="External"/><Relationship Id="rId59" Type="http://schemas.openxmlformats.org/officeDocument/2006/relationships/hyperlink" Target="https://www.fullmarksstore.jp/item/1308300110.html" TargetMode="External"/><Relationship Id="rId60" Type="http://schemas.openxmlformats.org/officeDocument/2006/relationships/hyperlink" Target="https://www.fullmarksstore.jp/item/1308300630.html" TargetMode="External"/><Relationship Id="rId61" Type="http://schemas.openxmlformats.org/officeDocument/2006/relationships/hyperlink" Target="https://www.fullmarksstore.jp/item/1308300190.html" TargetMode="External"/><Relationship Id="rId62" Type="http://schemas.openxmlformats.org/officeDocument/2006/relationships/hyperlink" Target="https://www.fullmarksstore.jp/item/1308300680.html" TargetMode="External"/><Relationship Id="rId63" Type="http://schemas.openxmlformats.org/officeDocument/2006/relationships/hyperlink" Target="https://www.fullmarksstore.jp/item/1308300780.html" TargetMode="External"/><Relationship Id="rId64" Type="http://schemas.openxmlformats.org/officeDocument/2006/relationships/hyperlink" Target="https://www.fullmarksstore.jp/item/1308100250.html" TargetMode="External"/><Relationship Id="rId65" Type="http://schemas.openxmlformats.org/officeDocument/2006/relationships/hyperlink" Target="https://www.fullmarksstore.jp/item/1308100450.html" TargetMode="External"/><Relationship Id="rId66" Type="http://schemas.openxmlformats.org/officeDocument/2006/relationships/hyperlink" Target="https://www.fullmarksstore.jp/item/1308100470.html" TargetMode="External"/><Relationship Id="rId67" Type="http://schemas.openxmlformats.org/officeDocument/2006/relationships/hyperlink" Target="https://www.fullmarksstore.jp/item/1308500320.html" TargetMode="External"/><Relationship Id="rId68" Type="http://schemas.openxmlformats.org/officeDocument/2006/relationships/hyperlink" Target="https://www.fullmarksstore.jp/item/1308500430.html" TargetMode="External"/><Relationship Id="rId69" Type="http://schemas.openxmlformats.org/officeDocument/2006/relationships/hyperlink" Target="https://www.fullmarksstore.jp/item/1308500420.html" TargetMode="External"/><Relationship Id="rId70" Type="http://schemas.openxmlformats.org/officeDocument/2006/relationships/hyperlink" Target="https://www.fullmarksstore.jp/item/1308500410.html" TargetMode="External"/><Relationship Id="rId71" Type="http://schemas.openxmlformats.org/officeDocument/2006/relationships/hyperlink" Target="https://www.fullmarksstore.jp/item/1301300540.html" TargetMode="External"/><Relationship Id="rId72" Type="http://schemas.openxmlformats.org/officeDocument/2006/relationships/hyperlink" Target="https://www.fullmarksstore.jp/item/1301202340.html" TargetMode="External"/><Relationship Id="rId73" Type="http://schemas.openxmlformats.org/officeDocument/2006/relationships/hyperlink" Target="https://www.fullmarksstore.jp/item/1308300340.html" TargetMode="External"/><Relationship Id="rId74" Type="http://schemas.openxmlformats.org/officeDocument/2006/relationships/hyperlink" Target="https://www.fullmarksstore.jp/item/1308100360.html" TargetMode="External"/><Relationship Id="rId75" Type="http://schemas.openxmlformats.org/officeDocument/2006/relationships/hyperlink" Target="https://www.fullmarksstore.jp/item/1308100480.html" TargetMode="External"/><Relationship Id="rId76" Type="http://schemas.openxmlformats.org/officeDocument/2006/relationships/hyperlink" Target="https://www.fullmarksstore.jp/item/1308300560.html" TargetMode="External"/><Relationship Id="rId77" Type="http://schemas.openxmlformats.org/officeDocument/2006/relationships/hyperlink" Target="https://www.fullmarksstore.jp/item/1308200140.html" TargetMode="External"/><Relationship Id="rId78" Type="http://schemas.openxmlformats.org/officeDocument/2006/relationships/hyperlink" Target="https://www.fullmarksstore.jp/item/1308200020.html" TargetMode="External"/><Relationship Id="rId79" Type="http://schemas.openxmlformats.org/officeDocument/2006/relationships/hyperlink" Target="https://www.fullmarksstore.jp/item/1308200230.html" TargetMode="External"/><Relationship Id="rId80" Type="http://schemas.openxmlformats.org/officeDocument/2006/relationships/hyperlink" Target="https://www.fullmarksstore.jp/item/1301087940.html" TargetMode="External"/><Relationship Id="rId81" Type="http://schemas.openxmlformats.org/officeDocument/2006/relationships/hyperlink" Target="https://www.fullmarksstore.jp/item/1308300600.html" TargetMode="External"/><Relationship Id="rId82" Type="http://schemas.openxmlformats.org/officeDocument/2006/relationships/hyperlink" Target="https://www.fullmarksstore.jp/item/1308300660.html" TargetMode="External"/><Relationship Id="rId83" Type="http://schemas.openxmlformats.org/officeDocument/2006/relationships/hyperlink" Target="https://www.fullmarksstore.jp/item/1308300330.html" TargetMode="External"/><Relationship Id="rId84" Type="http://schemas.openxmlformats.org/officeDocument/2006/relationships/hyperlink" Target="https://www.fullmarksstore.jp/item/1308100380.html" TargetMode="External"/><Relationship Id="rId85" Type="http://schemas.openxmlformats.org/officeDocument/2006/relationships/hyperlink" Target="https://www.fullmarksstore.jp/item/1308300460.html" TargetMode="External"/><Relationship Id="rId86" Type="http://schemas.openxmlformats.org/officeDocument/2006/relationships/hyperlink" Target="https://www.fullmarksstore.jp/item/1308300120.html" TargetMode="External"/><Relationship Id="rId87" Type="http://schemas.openxmlformats.org/officeDocument/2006/relationships/hyperlink" Target="https://www.fullmarksstore.jp/item/1308300620.html" TargetMode="External"/><Relationship Id="rId88" Type="http://schemas.openxmlformats.org/officeDocument/2006/relationships/hyperlink" Target="https://www.fullmarksstore.jp/item/1308300180.html" TargetMode="External"/><Relationship Id="rId89" Type="http://schemas.openxmlformats.org/officeDocument/2006/relationships/hyperlink" Target="https://www.fullmarksstore.jp/item/1308300670.html" TargetMode="External"/><Relationship Id="rId90" Type="http://schemas.openxmlformats.org/officeDocument/2006/relationships/hyperlink" Target="https://www.fullmarksstore.jp/item/1308300770.html" TargetMode="External"/><Relationship Id="rId91" Type="http://schemas.openxmlformats.org/officeDocument/2006/relationships/hyperlink" Target="https://www.fullmarksstore.jp/item/1308100260.html" TargetMode="External"/><Relationship Id="rId92" Type="http://schemas.openxmlformats.org/officeDocument/2006/relationships/hyperlink" Target="https://www.fullmarksstore.jp/item/1308100440.html" TargetMode="External"/><Relationship Id="rId93" Type="http://schemas.openxmlformats.org/officeDocument/2006/relationships/hyperlink" Target="https://www.fullmarksstore.jp/item/1308100460.html" TargetMode="External"/><Relationship Id="rId94" Type="http://schemas.openxmlformats.org/officeDocument/2006/relationships/hyperlink" Target="https://www.fullmarksstore.jp/item/1308500340.html" TargetMode="External"/><Relationship Id="rId95" Type="http://schemas.openxmlformats.org/officeDocument/2006/relationships/hyperlink" Target="https://www.fullmarksstore.jp/item/1308500090.html" TargetMode="External"/><Relationship Id="rId96" Type="http://schemas.openxmlformats.org/officeDocument/2006/relationships/hyperlink" Target="https://www.fullmarksstore.jp/item/1308500280.html" TargetMode="External"/><Relationship Id="rId97" Type="http://schemas.openxmlformats.org/officeDocument/2006/relationships/hyperlink" Target="https://www.fullmarksstore.jp/item/1303003440.html" TargetMode="External"/><Relationship Id="rId98" Type="http://schemas.openxmlformats.org/officeDocument/2006/relationships/hyperlink" Target="https://www.fullmarksstore.jp/item/1308500190.html" TargetMode="External"/><Relationship Id="rId99" Type="http://schemas.openxmlformats.org/officeDocument/2006/relationships/hyperlink" Target="https://www.fullmarksstore.jp/item/1303688640.html" TargetMode="External"/><Relationship Id="rId100" Type="http://schemas.openxmlformats.org/officeDocument/2006/relationships/hyperlink" Target="https://www.fullmarksstore.jp/item/1303786740.html" TargetMode="External"/><Relationship Id="rId101" Type="http://schemas.openxmlformats.org/officeDocument/2006/relationships/hyperlink" Target="https://www.fullmarksstore.jp/item/1308300360.html" TargetMode="External"/><Relationship Id="rId102" Type="http://schemas.openxmlformats.org/officeDocument/2006/relationships/hyperlink" Target="https://www.fullmarksstore.jp/item/1308300410.html" TargetMode="External"/><Relationship Id="rId103" Type="http://schemas.openxmlformats.org/officeDocument/2006/relationships/hyperlink" Target="https://www.fullmarksstore.jp/item/1308600940.html" TargetMode="External"/><Relationship Id="rId104" Type="http://schemas.openxmlformats.org/officeDocument/2006/relationships/hyperlink" Target="https://www.fullmarksstore.jp/item/1308600650.html" TargetMode="External"/><Relationship Id="rId105" Type="http://schemas.openxmlformats.org/officeDocument/2006/relationships/hyperlink" Target="https://www.fullmarksstore.jp/item/1302907940.html" TargetMode="External"/><Relationship Id="rId106" Type="http://schemas.openxmlformats.org/officeDocument/2006/relationships/hyperlink" Target="https://www.fullmarksstore.jp/item/1308600810.html" TargetMode="External"/><Relationship Id="rId107" Type="http://schemas.openxmlformats.org/officeDocument/2006/relationships/hyperlink" Target="https://www.fullmarksstore.jp/item/1308200310.html" TargetMode="External"/><Relationship Id="rId108" Type="http://schemas.openxmlformats.org/officeDocument/2006/relationships/hyperlink" Target="https://www.fullmarksstore.jp/item/1308100220.html" TargetMode="External"/><Relationship Id="rId109" Type="http://schemas.openxmlformats.org/officeDocument/2006/relationships/hyperlink" Target="https://www.fullmarksstore.jp/item/1308600630.html" TargetMode="External"/><Relationship Id="rId110" Type="http://schemas.openxmlformats.org/officeDocument/2006/relationships/hyperlink" Target="https://www.fullmarksstore.jp/item/1308600720.html" TargetMode="External"/><Relationship Id="rId111" Type="http://schemas.openxmlformats.org/officeDocument/2006/relationships/hyperlink" Target="https://www.fullmarksstore.jp/item/1308000660.html" TargetMode="External"/><Relationship Id="rId112" Type="http://schemas.openxmlformats.org/officeDocument/2006/relationships/hyperlink" Target="https://www.fullmarksstore.jp/item/1308300060.html" TargetMode="External"/><Relationship Id="rId113" Type="http://schemas.openxmlformats.org/officeDocument/2006/relationships/hyperlink" Target="https://www.fullmarksstore.jp/item/1308400630.html" TargetMode="External"/><Relationship Id="rId114" Type="http://schemas.openxmlformats.org/officeDocument/2006/relationships/hyperlink" Target="https://www.fullmarksstore.jp/item/1308400700.html" TargetMode="External"/><Relationship Id="rId115" Type="http://schemas.openxmlformats.org/officeDocument/2006/relationships/hyperlink" Target="https://www.fullmarksstore.jp/item/1308400690.html" TargetMode="External"/><Relationship Id="rId116" Type="http://schemas.openxmlformats.org/officeDocument/2006/relationships/hyperlink" Target="https://www.fullmarksstore.jp/item/1308400790.html" TargetMode="External"/><Relationship Id="rId117" Type="http://schemas.openxmlformats.org/officeDocument/2006/relationships/hyperlink" Target="https://www.fullmarksstore.jp/item/1308600600.html" TargetMode="External"/><Relationship Id="rId118" Type="http://schemas.openxmlformats.org/officeDocument/2006/relationships/hyperlink" Target="https://www.fullmarksstore.jp/item/1308100060.html" TargetMode="External"/><Relationship Id="rId119" Type="http://schemas.openxmlformats.org/officeDocument/2006/relationships/hyperlink" Target="https://www.fullmarksstore.jp/item/1308100310.html" TargetMode="External"/><Relationship Id="rId120" Type="http://schemas.openxmlformats.org/officeDocument/2006/relationships/hyperlink" Target="https://www.fullmarksstore.jp/item/1308100620.html" TargetMode="External"/><Relationship Id="rId121" Type="http://schemas.openxmlformats.org/officeDocument/2006/relationships/hyperlink" Target="https://www.fullmarksstore.jp/item/1308600460.html" TargetMode="External"/><Relationship Id="rId122" Type="http://schemas.openxmlformats.org/officeDocument/2006/relationships/hyperlink" Target="https://www.fullmarksstore.jp/item/1308400650.html" TargetMode="External"/><Relationship Id="rId123" Type="http://schemas.openxmlformats.org/officeDocument/2006/relationships/hyperlink" Target="https://www.fullmarksstore.jp/item/1308600090.html" TargetMode="External"/><Relationship Id="rId124" Type="http://schemas.openxmlformats.org/officeDocument/2006/relationships/hyperlink" Target="https://www.fullmarksstore.jp/item/1308600510.html" TargetMode="External"/><Relationship Id="rId125" Type="http://schemas.openxmlformats.org/officeDocument/2006/relationships/hyperlink" Target="https://www.fullmarksstore.jp/item/1308400480.html" TargetMode="External"/><Relationship Id="rId126" Type="http://schemas.openxmlformats.org/officeDocument/2006/relationships/hyperlink" Target="https://www.fullmarksstore.jp/item/1302607240.html" TargetMode="External"/><Relationship Id="rId127" Type="http://schemas.openxmlformats.org/officeDocument/2006/relationships/hyperlink" Target="https://www.fullmarksstore.jp/item/1306006840.html" TargetMode="External"/><Relationship Id="rId128" Type="http://schemas.openxmlformats.org/officeDocument/2006/relationships/hyperlink" Target="https://www.fullmarksstore.jp/item/1301010740.html" TargetMode="External"/><Relationship Id="rId129" Type="http://schemas.openxmlformats.org/officeDocument/2006/relationships/hyperlink" Target="https://www.fullmarksstore.jp/item/1306499440.html" TargetMode="External"/><Relationship Id="rId130" Type="http://schemas.openxmlformats.org/officeDocument/2006/relationships/hyperlink" Target="https://www.fullmarksstore.jp/item/1303786840.html" TargetMode="External"/><Relationship Id="rId131" Type="http://schemas.openxmlformats.org/officeDocument/2006/relationships/hyperlink" Target="https://www.fullmarksstore.jp/item/1308300370.html" TargetMode="External"/><Relationship Id="rId132" Type="http://schemas.openxmlformats.org/officeDocument/2006/relationships/hyperlink" Target="https://www.fullmarksstore.jp/item/1308300400.html" TargetMode="External"/><Relationship Id="rId133" Type="http://schemas.openxmlformats.org/officeDocument/2006/relationships/hyperlink" Target="https://www.fullmarksstore.jp/item/1308600660.html" TargetMode="External"/><Relationship Id="rId134" Type="http://schemas.openxmlformats.org/officeDocument/2006/relationships/hyperlink" Target="https://www.fullmarksstore.jp/item/1308600700.html" TargetMode="External"/><Relationship Id="rId135" Type="http://schemas.openxmlformats.org/officeDocument/2006/relationships/hyperlink" Target="https://www.fullmarksstore.jp/item/1308600710.html" TargetMode="External"/><Relationship Id="rId136" Type="http://schemas.openxmlformats.org/officeDocument/2006/relationships/hyperlink" Target="https://www.fullmarksstore.jp/item/1308200300.html" TargetMode="External"/><Relationship Id="rId137" Type="http://schemas.openxmlformats.org/officeDocument/2006/relationships/hyperlink" Target="https://www.fullmarksstore.jp/item/1308100210.html" TargetMode="External"/><Relationship Id="rId138" Type="http://schemas.openxmlformats.org/officeDocument/2006/relationships/hyperlink" Target="https://www.fullmarksstore.jp/item/1308600640.html" TargetMode="External"/><Relationship Id="rId139" Type="http://schemas.openxmlformats.org/officeDocument/2006/relationships/hyperlink" Target="https://www.fullmarksstore.jp/item/1308600730.html" TargetMode="External"/><Relationship Id="rId140" Type="http://schemas.openxmlformats.org/officeDocument/2006/relationships/hyperlink" Target="https://www.fullmarksstore.jp/item/1308000650.html" TargetMode="External"/><Relationship Id="rId141" Type="http://schemas.openxmlformats.org/officeDocument/2006/relationships/hyperlink" Target="https://www.fullmarksstore.jp/item/1308300070.html" TargetMode="External"/><Relationship Id="rId142" Type="http://schemas.openxmlformats.org/officeDocument/2006/relationships/hyperlink" Target="https://www.fullmarksstore.jp/item/1308400640.html" TargetMode="External"/><Relationship Id="rId143" Type="http://schemas.openxmlformats.org/officeDocument/2006/relationships/hyperlink" Target="https://www.fullmarksstore.jp/item/1308400670.html" TargetMode="External"/><Relationship Id="rId144" Type="http://schemas.openxmlformats.org/officeDocument/2006/relationships/hyperlink" Target="https://www.fullmarksstore.jp/item/1308400680.html" TargetMode="External"/><Relationship Id="rId145" Type="http://schemas.openxmlformats.org/officeDocument/2006/relationships/hyperlink" Target="https://www.fullmarksstore.jp/item/1308400510.html" TargetMode="External"/><Relationship Id="rId146" Type="http://schemas.openxmlformats.org/officeDocument/2006/relationships/hyperlink" Target="https://www.fullmarksstore.jp/item/1308600680.html" TargetMode="External"/><Relationship Id="rId147" Type="http://schemas.openxmlformats.org/officeDocument/2006/relationships/hyperlink" Target="https://www.fullmarksstore.jp/item/1308400040.html" TargetMode="External"/><Relationship Id="rId148" Type="http://schemas.openxmlformats.org/officeDocument/2006/relationships/hyperlink" Target="https://www.fullmarksstore.jp/item/1308100320.html" TargetMode="External"/><Relationship Id="rId149" Type="http://schemas.openxmlformats.org/officeDocument/2006/relationships/hyperlink" Target="https://www.fullmarksstore.jp/item/1308100630.html" TargetMode="External"/><Relationship Id="rId150" Type="http://schemas.openxmlformats.org/officeDocument/2006/relationships/hyperlink" Target="https://www.fullmarksstore.jp/item/1308600470.html" TargetMode="External"/><Relationship Id="rId151" Type="http://schemas.openxmlformats.org/officeDocument/2006/relationships/hyperlink" Target="https://www.fullmarksstore.jp/item/1308600960.html" TargetMode="External"/><Relationship Id="rId152" Type="http://schemas.openxmlformats.org/officeDocument/2006/relationships/hyperlink" Target="https://www.fullmarksstore.jp/item/1308400660.html" TargetMode="External"/><Relationship Id="rId153" Type="http://schemas.openxmlformats.org/officeDocument/2006/relationships/hyperlink" Target="https://www.fullmarksstore.jp/item/1308400450.html" TargetMode="External"/><Relationship Id="rId154" Type="http://schemas.openxmlformats.org/officeDocument/2006/relationships/hyperlink" Target="https://www.fullmarksstore.jp/item/1308600100.html" TargetMode="External"/><Relationship Id="rId155" Type="http://schemas.openxmlformats.org/officeDocument/2006/relationships/hyperlink" Target="https://www.fullmarksstore.jp/item/1301607240.html" TargetMode="External"/><Relationship Id="rId156" Type="http://schemas.openxmlformats.org/officeDocument/2006/relationships/hyperlink" Target="https://www.fullmarksstore.jp/item/1308600180.html" TargetMode="External"/><Relationship Id="rId157" Type="http://schemas.openxmlformats.org/officeDocument/2006/relationships/hyperlink" Target="https://www.fullmarksstore.jp/item/1303725240.html" TargetMode="External"/><Relationship Id="rId158" Type="http://schemas.openxmlformats.org/officeDocument/2006/relationships/hyperlink" Target="https://www.fullmarksstore.jp/item/1401122150.html" TargetMode="External"/><Relationship Id="rId159" Type="http://schemas.openxmlformats.org/officeDocument/2006/relationships/hyperlink" Target="https://www.fullmarksstore.jp/item/1401120500.html" TargetMode="External"/><Relationship Id="rId160" Type="http://schemas.openxmlformats.org/officeDocument/2006/relationships/hyperlink" Target="https://www.fullmarksstore.jp/item/1401120750.html" TargetMode="External"/><Relationship Id="rId161" Type="http://schemas.openxmlformats.org/officeDocument/2006/relationships/hyperlink" Target="https://www.fullmarksstore.jp/item/1401119590.html" TargetMode="External"/><Relationship Id="rId162" Type="http://schemas.openxmlformats.org/officeDocument/2006/relationships/hyperlink" Target="https://www.fullmarksstore.jp/item/1401119790.html" TargetMode="External"/><Relationship Id="rId163" Type="http://schemas.openxmlformats.org/officeDocument/2006/relationships/hyperlink" Target="https://www.fullmarksstore.jp/item/1401122330.html" TargetMode="External"/><Relationship Id="rId164" Type="http://schemas.openxmlformats.org/officeDocument/2006/relationships/hyperlink" Target="https://www.fullmarksstore.jp/item/1401122480.html" TargetMode="External"/><Relationship Id="rId165" Type="http://schemas.openxmlformats.org/officeDocument/2006/relationships/hyperlink" Target="https://www.fullmarksstore.jp/item/1401122070.html" TargetMode="External"/><Relationship Id="rId166" Type="http://schemas.openxmlformats.org/officeDocument/2006/relationships/hyperlink" Target="https://www.fullmarksstore.jp/item/1401122030.html" TargetMode="External"/><Relationship Id="rId167" Type="http://schemas.openxmlformats.org/officeDocument/2006/relationships/hyperlink" Target="https://www.fullmarksstore.jp/item/1401119090.html" TargetMode="External"/><Relationship Id="rId168" Type="http://schemas.openxmlformats.org/officeDocument/2006/relationships/hyperlink" Target="https://www.fullmarksstore.jp/item/1401118930.html" TargetMode="External"/><Relationship Id="rId169" Type="http://schemas.openxmlformats.org/officeDocument/2006/relationships/hyperlink" Target="https://www.fullmarksstore.jp/item/1401118850.html" TargetMode="External"/><Relationship Id="rId170" Type="http://schemas.openxmlformats.org/officeDocument/2006/relationships/hyperlink" Target="https://www.fullmarksstore.jp/item/1401118780.html" TargetMode="External"/><Relationship Id="rId171" Type="http://schemas.openxmlformats.org/officeDocument/2006/relationships/hyperlink" Target="https://www.fullmarksstore.jp/item/1401118710.html" TargetMode="External"/><Relationship Id="rId172" Type="http://schemas.openxmlformats.org/officeDocument/2006/relationships/hyperlink" Target="https://www.fullmarksstore.jp/item/1401119460.html" TargetMode="External"/><Relationship Id="rId173" Type="http://schemas.openxmlformats.org/officeDocument/2006/relationships/hyperlink" Target="https://www.fullmarksstore.jp/item/1401121900.html" TargetMode="External"/><Relationship Id="rId174" Type="http://schemas.openxmlformats.org/officeDocument/2006/relationships/hyperlink" Target="https://www.fullmarksstore.jp/item/1401119270.html" TargetMode="External"/><Relationship Id="rId175" Type="http://schemas.openxmlformats.org/officeDocument/2006/relationships/hyperlink" Target="https://www.fullmarksstore.jp/item/1401099180.html" TargetMode="External"/><Relationship Id="rId176" Type="http://schemas.openxmlformats.org/officeDocument/2006/relationships/hyperlink" Target="https://www.fullmarksstore.jp/item/1401017740.html" TargetMode="External"/><Relationship Id="rId177" Type="http://schemas.openxmlformats.org/officeDocument/2006/relationships/hyperlink" Target="https://www.fullmarksstore.jp/item/1401016890.html" TargetMode="External"/><Relationship Id="rId178" Type="http://schemas.openxmlformats.org/officeDocument/2006/relationships/hyperlink" Target="https://www.fullmarksstore.jp/item/1401016880.html" TargetMode="External"/><Relationship Id="rId179" Type="http://schemas.openxmlformats.org/officeDocument/2006/relationships/hyperlink" Target="https://www.fullmarksstore.jp/item/1401024710.html" TargetMode="External"/><Relationship Id="rId180" Type="http://schemas.openxmlformats.org/officeDocument/2006/relationships/hyperlink" Target="https://www.fullmarksstore.jp/item/1401027030.html" TargetMode="External"/><Relationship Id="rId181" Type="http://schemas.openxmlformats.org/officeDocument/2006/relationships/hyperlink" Target="https://www.fullmarksstore.jp/item/1401027230.html" TargetMode="External"/><Relationship Id="rId182" Type="http://schemas.openxmlformats.org/officeDocument/2006/relationships/hyperlink" Target="https://www.fullmarksstore.jp/item/1401016900.html" TargetMode="External"/><Relationship Id="rId183" Type="http://schemas.openxmlformats.org/officeDocument/2006/relationships/hyperlink" Target="https://www.fullmarksstore.jp/item/1401027100.html" TargetMode="External"/><Relationship Id="rId184" Type="http://schemas.openxmlformats.org/officeDocument/2006/relationships/hyperlink" Target="https://www.fullmarksstore.jp/item/1401022760.html" TargetMode="External"/><Relationship Id="rId185" Type="http://schemas.openxmlformats.org/officeDocument/2006/relationships/hyperlink" Target="https://www.fullmarksstore.jp/item/1401032830.html" TargetMode="External"/><Relationship Id="rId186" Type="http://schemas.openxmlformats.org/officeDocument/2006/relationships/hyperlink" Target="https://www.fullmarksstore.jp/item/1401034320.html" TargetMode="External"/><Relationship Id="rId187" Type="http://schemas.openxmlformats.org/officeDocument/2006/relationships/hyperlink" Target="https://www.fullmarksstore.jp/item/1401034110.html" TargetMode="External"/><Relationship Id="rId188" Type="http://schemas.openxmlformats.org/officeDocument/2006/relationships/hyperlink" Target="https://www.fullmarksstore.jp/item/1401034460.html" TargetMode="External"/><Relationship Id="rId189" Type="http://schemas.openxmlformats.org/officeDocument/2006/relationships/hyperlink" Target="https://www.fullmarksstore.jp/item/1401034250.html" TargetMode="External"/><Relationship Id="rId190" Type="http://schemas.openxmlformats.org/officeDocument/2006/relationships/hyperlink" Target="https://www.fullmarksstore.jp/item/1401017900.html" TargetMode="External"/><Relationship Id="rId191" Type="http://schemas.openxmlformats.org/officeDocument/2006/relationships/hyperlink" Target="https://www.fullmarksstore.jp/item/1401034390.html" TargetMode="External"/><Relationship Id="rId192" Type="http://schemas.openxmlformats.org/officeDocument/2006/relationships/hyperlink" Target="https://www.fullmarksstore.jp/item/1401034180.html" TargetMode="External"/><Relationship Id="rId193" Type="http://schemas.openxmlformats.org/officeDocument/2006/relationships/hyperlink" Target="https://www.fullmarksstore.jp/item/1401034890.html" TargetMode="External"/><Relationship Id="rId194" Type="http://schemas.openxmlformats.org/officeDocument/2006/relationships/hyperlink" Target="https://www.fullmarksstore.jp/item/1401099220.html" TargetMode="External"/><Relationship Id="rId195" Type="http://schemas.openxmlformats.org/officeDocument/2006/relationships/hyperlink" Target="https://www.fullmarksstore.jp/item/1401084810.html" TargetMode="External"/><Relationship Id="rId196" Type="http://schemas.openxmlformats.org/officeDocument/2006/relationships/hyperlink" Target="https://www.fullmarksstore.jp/item/1401084760.html" TargetMode="External"/><Relationship Id="rId197" Type="http://schemas.openxmlformats.org/officeDocument/2006/relationships/hyperlink" Target="https://www.fullmarksstore.jp/item/1401043050.html" TargetMode="External"/><Relationship Id="rId198" Type="http://schemas.openxmlformats.org/officeDocument/2006/relationships/hyperlink" Target="https://www.fullmarksstore.jp/item/1401047560.html" TargetMode="External"/><Relationship Id="rId199" Type="http://schemas.openxmlformats.org/officeDocument/2006/relationships/hyperlink" Target="https://www.fullmarksstore.jp/item/1401017750.html" TargetMode="External"/><Relationship Id="rId200" Type="http://schemas.openxmlformats.org/officeDocument/2006/relationships/hyperlink" Target="https://www.fullmarksstore.jp/item/1401017920.html" TargetMode="External"/><Relationship Id="rId201" Type="http://schemas.openxmlformats.org/officeDocument/2006/relationships/hyperlink" Target="https://www.fullmarksstore.jp/item/1401017650.html" TargetMode="External"/><Relationship Id="rId202" Type="http://schemas.openxmlformats.org/officeDocument/2006/relationships/hyperlink" Target="https://www.fullmarksstore.jp/item/1401068230.html" TargetMode="External"/><Relationship Id="rId203" Type="http://schemas.openxmlformats.org/officeDocument/2006/relationships/hyperlink" Target="https://www.fullmarksstore.jp/item/1401073620.html" TargetMode="External"/><Relationship Id="rId204" Type="http://schemas.openxmlformats.org/officeDocument/2006/relationships/hyperlink" Target="https://www.fullmarksstore.jp/item/1401107450.html" TargetMode="External"/><Relationship Id="rId205" Type="http://schemas.openxmlformats.org/officeDocument/2006/relationships/hyperlink" Target="https://www.fullmarksstore.jp/item/1401016930.html" TargetMode="External"/><Relationship Id="rId206" Type="http://schemas.openxmlformats.org/officeDocument/2006/relationships/hyperlink" Target="https://www.fullmarksstore.jp/item/1401073710.html" TargetMode="External"/><Relationship Id="rId207" Type="http://schemas.openxmlformats.org/officeDocument/2006/relationships/hyperlink" Target="https://www.fullmarksstore.jp/item/1401053120.html" TargetMode="External"/><Relationship Id="rId208" Type="http://schemas.openxmlformats.org/officeDocument/2006/relationships/hyperlink" Target="https://www.fullmarksstore.jp/item/1401017680.html" TargetMode="External"/><Relationship Id="rId209" Type="http://schemas.openxmlformats.org/officeDocument/2006/relationships/hyperlink" Target="https://www.fullmarksstore.jp/item/1401017890.html" TargetMode="External"/><Relationship Id="rId210" Type="http://schemas.openxmlformats.org/officeDocument/2006/relationships/hyperlink" Target="https://www.fullmarksstore.jp/item/1401017140.html" TargetMode="External"/><Relationship Id="rId211" Type="http://schemas.openxmlformats.org/officeDocument/2006/relationships/hyperlink" Target="https://www.fullmarksstore.jp/item/1401017150.html" TargetMode="External"/><Relationship Id="rId212" Type="http://schemas.openxmlformats.org/officeDocument/2006/relationships/hyperlink" Target="https://www.fullmarksstore.jp/item/1401017020.html" TargetMode="External"/><Relationship Id="rId213" Type="http://schemas.openxmlformats.org/officeDocument/2006/relationships/hyperlink" Target="https://www.fullmarksstore.jp/item/1401017170.html" TargetMode="External"/><Relationship Id="rId214" Type="http://schemas.openxmlformats.org/officeDocument/2006/relationships/hyperlink" Target="https://www.fullmarksstore.jp/item/1401017030.html" TargetMode="External"/><Relationship Id="rId215" Type="http://schemas.openxmlformats.org/officeDocument/2006/relationships/hyperlink" Target="https://www.fullmarksstore.jp/item/1401053080.html" TargetMode="External"/><Relationship Id="rId216" Type="http://schemas.openxmlformats.org/officeDocument/2006/relationships/hyperlink" Target="https://www.fullmarksstore.jp/item/1401084520.html" TargetMode="External"/><Relationship Id="rId217" Type="http://schemas.openxmlformats.org/officeDocument/2006/relationships/hyperlink" Target="https://www.fullmarksstore.jp/item/1401040350.html" TargetMode="External"/><Relationship Id="rId218" Type="http://schemas.openxmlformats.org/officeDocument/2006/relationships/hyperlink" Target="https://www.fullmarksstore.jp/item/1401040780.html" TargetMode="External"/><Relationship Id="rId219" Type="http://schemas.openxmlformats.org/officeDocument/2006/relationships/hyperlink" Target="https://www.fullmarksstore.jp/item/1401084490.html" TargetMode="External"/><Relationship Id="rId220" Type="http://schemas.openxmlformats.org/officeDocument/2006/relationships/hyperlink" Target="https://www.fullmarksstore.jp/item/1401017350.html" TargetMode="External"/><Relationship Id="rId221" Type="http://schemas.openxmlformats.org/officeDocument/2006/relationships/hyperlink" Target="https://www.fullmarksstore.jp/item/1401084500.html" TargetMode="External"/><Relationship Id="rId222" Type="http://schemas.openxmlformats.org/officeDocument/2006/relationships/hyperlink" Target="https://www.fullmarksstore.jp/item/1401017110.html" TargetMode="External"/><Relationship Id="rId223" Type="http://schemas.openxmlformats.org/officeDocument/2006/relationships/hyperlink" Target="https://www.fullmarksstore.jp/item/1401017360.html" TargetMode="External"/><Relationship Id="rId224" Type="http://schemas.openxmlformats.org/officeDocument/2006/relationships/hyperlink" Target="https://www.fullmarksstore.jp/item/1401017050.html" TargetMode="External"/><Relationship Id="rId225" Type="http://schemas.openxmlformats.org/officeDocument/2006/relationships/hyperlink" Target="https://www.fullmarksstore.jp/item/1401099190.html" TargetMode="External"/><Relationship Id="rId226" Type="http://schemas.openxmlformats.org/officeDocument/2006/relationships/hyperlink" Target="https://www.fullmarksstore.jp/item/1401017720.html" TargetMode="External"/><Relationship Id="rId227" Type="http://schemas.openxmlformats.org/officeDocument/2006/relationships/hyperlink" Target="https://www.fullmarksstore.jp/item/1401017390.html" TargetMode="External"/><Relationship Id="rId228" Type="http://schemas.openxmlformats.org/officeDocument/2006/relationships/hyperlink" Target="https://www.fullmarksstore.jp/item/1401017130.html" TargetMode="External"/><Relationship Id="rId229" Type="http://schemas.openxmlformats.org/officeDocument/2006/relationships/hyperlink" Target="https://www.fullmarksstore.jp/item/1401073700.html" TargetMode="External"/><Relationship Id="rId230" Type="http://schemas.openxmlformats.org/officeDocument/2006/relationships/hyperlink" Target="https://www.fullmarksstore.jp/item/1401034910.html" TargetMode="External"/><Relationship Id="rId231" Type="http://schemas.openxmlformats.org/officeDocument/2006/relationships/hyperlink" Target="https://www.fullmarksstore.jp/item/1401039850.html" TargetMode="External"/><Relationship Id="rId232" Type="http://schemas.openxmlformats.org/officeDocument/2006/relationships/hyperlink" Target="https://www.fullmarksstore.jp/item/1401099140.html" TargetMode="External"/><Relationship Id="rId233" Type="http://schemas.openxmlformats.org/officeDocument/2006/relationships/hyperlink" Target="https://www.fullmarksstore.jp/item/1401063020.html" TargetMode="External"/><Relationship Id="rId234" Type="http://schemas.openxmlformats.org/officeDocument/2006/relationships/hyperlink" Target="https://www.fullmarksstore.jp/item/1401062890.html" TargetMode="External"/><Relationship Id="rId235" Type="http://schemas.openxmlformats.org/officeDocument/2006/relationships/hyperlink" Target="https://www.fullmarksstore.jp/item/1401063030.html" TargetMode="External"/><Relationship Id="rId236" Type="http://schemas.openxmlformats.org/officeDocument/2006/relationships/hyperlink" Target="https://www.fullmarksstore.jp/item/1401017010.html" TargetMode="External"/><Relationship Id="rId237" Type="http://schemas.openxmlformats.org/officeDocument/2006/relationships/hyperlink" Target="https://www.fullmarksstore.jp/item/1401016970.html" TargetMode="External"/><Relationship Id="rId238" Type="http://schemas.openxmlformats.org/officeDocument/2006/relationships/hyperlink" Target="https://www.fullmarksstore.jp/item/1401042840.html" TargetMode="External"/><Relationship Id="rId239" Type="http://schemas.openxmlformats.org/officeDocument/2006/relationships/hyperlink" Target="https://www.fullmarksstore.jp/item/1401017910.html" TargetMode="External"/><Relationship Id="rId240" Type="http://schemas.openxmlformats.org/officeDocument/2006/relationships/hyperlink" Target="https://www.fullmarksstore.jp/item/1401059800.html" TargetMode="External"/><Relationship Id="rId241" Type="http://schemas.openxmlformats.org/officeDocument/2006/relationships/hyperlink" Target="https://www.fullmarksstore.jp/item/1401048060.html" TargetMode="External"/><Relationship Id="rId242" Type="http://schemas.openxmlformats.org/officeDocument/2006/relationships/hyperlink" Target="https://www.fullmarksstore.jp/item/1401016610.html" TargetMode="External"/><Relationship Id="rId243" Type="http://schemas.openxmlformats.org/officeDocument/2006/relationships/hyperlink" Target="https://www.fullmarksstore.jp/item/1401068170.html" TargetMode="External"/><Relationship Id="rId244" Type="http://schemas.openxmlformats.org/officeDocument/2006/relationships/hyperlink" Target="https://www.fullmarksstore.jp/item/1401068200.html" TargetMode="External"/><Relationship Id="rId245" Type="http://schemas.openxmlformats.org/officeDocument/2006/relationships/hyperlink" Target="https://www.fullmarksstore.jp/item/1401016510.html" TargetMode="External"/><Relationship Id="rId246" Type="http://schemas.openxmlformats.org/officeDocument/2006/relationships/hyperlink" Target="https://www.fullmarksstore.jp/item/1401016520.html" TargetMode="External"/><Relationship Id="rId247" Type="http://schemas.openxmlformats.org/officeDocument/2006/relationships/hyperlink" Target="https://www.fullmarksstore.jp/item/1401016630.html" TargetMode="External"/><Relationship Id="rId248" Type="http://schemas.openxmlformats.org/officeDocument/2006/relationships/hyperlink" Target="https://www.fullmarksstore.jp/item/1401016530.html" TargetMode="External"/><Relationship Id="rId249" Type="http://schemas.openxmlformats.org/officeDocument/2006/relationships/hyperlink" Target="https://www.fullmarksstore.jp/item/1401016620.html" TargetMode="External"/><Relationship Id="rId250" Type="http://schemas.openxmlformats.org/officeDocument/2006/relationships/hyperlink" Target="https://www.fullmarksstore.jp/item/1401102730.html" TargetMode="External"/><Relationship Id="rId251" Type="http://schemas.openxmlformats.org/officeDocument/2006/relationships/hyperlink" Target="https://www.fullmarksstore.jp/item/1401102710.html" TargetMode="External"/><Relationship Id="rId252" Type="http://schemas.openxmlformats.org/officeDocument/2006/relationships/hyperlink" Target="https://www.fullmarksstore.jp/item/1401102740.html" TargetMode="External"/><Relationship Id="rId253" Type="http://schemas.openxmlformats.org/officeDocument/2006/relationships/hyperlink" Target="https://www.fullmarksstore.jp/item/1401102720.html" TargetMode="External"/><Relationship Id="rId254" Type="http://schemas.openxmlformats.org/officeDocument/2006/relationships/hyperlink" Target="https://www.fullmarksstore.jp/item/1401063210.html" TargetMode="External"/><Relationship Id="rId255" Type="http://schemas.openxmlformats.org/officeDocument/2006/relationships/hyperlink" Target="https://www.fullmarksstore.jp/item/1401063200.html" TargetMode="External"/><Relationship Id="rId256" Type="http://schemas.openxmlformats.org/officeDocument/2006/relationships/hyperlink" Target="https://www.fullmarksstore.jp/item/1401063180.html" TargetMode="External"/><Relationship Id="rId257" Type="http://schemas.openxmlformats.org/officeDocument/2006/relationships/hyperlink" Target="https://www.fullmarksstore.jp/item/1401063190.html" TargetMode="External"/><Relationship Id="rId258" Type="http://schemas.openxmlformats.org/officeDocument/2006/relationships/hyperlink" Target="https://www.fullmarksstore.jp/item/1401095190.html" TargetMode="External"/><Relationship Id="rId259" Type="http://schemas.openxmlformats.org/officeDocument/2006/relationships/hyperlink" Target="https://www.fullmarksstore.jp/item/1401095120.html" TargetMode="External"/><Relationship Id="rId260" Type="http://schemas.openxmlformats.org/officeDocument/2006/relationships/hyperlink" Target="https://www.fullmarksstore.jp/item/1401095200.html" TargetMode="External"/><Relationship Id="rId261" Type="http://schemas.openxmlformats.org/officeDocument/2006/relationships/hyperlink" Target="https://www.fullmarksstore.jp/item/1401095140.html" TargetMode="External"/><Relationship Id="rId262" Type="http://schemas.openxmlformats.org/officeDocument/2006/relationships/hyperlink" Target="https://www.fullmarksstore.jp/item/1401095150.html" TargetMode="External"/><Relationship Id="rId263" Type="http://schemas.openxmlformats.org/officeDocument/2006/relationships/hyperlink" Target="https://www.fullmarksstore.jp/item/1401016500.html" TargetMode="External"/><Relationship Id="rId264" Type="http://schemas.openxmlformats.org/officeDocument/2006/relationships/hyperlink" Target="https://www.fullmarksstore.jp/item/1401047450.html" TargetMode="External"/><Relationship Id="rId265" Type="http://schemas.openxmlformats.org/officeDocument/2006/relationships/hyperlink" Target="https://www.fullmarksstore.jp/item/1401017640.html" TargetMode="External"/><Relationship Id="rId266" Type="http://schemas.openxmlformats.org/officeDocument/2006/relationships/hyperlink" Target="https://www.fullmarksstore.jp/item/1401047720.html" TargetMode="External"/><Relationship Id="rId267" Type="http://schemas.openxmlformats.org/officeDocument/2006/relationships/hyperlink" Target="https://www.fullmarksstore.jp/item/1401046750.html" TargetMode="External"/><Relationship Id="rId268" Type="http://schemas.openxmlformats.org/officeDocument/2006/relationships/hyperlink" Target="https://www.fullmarksstore.jp/item/1401068240.html" TargetMode="External"/><Relationship Id="rId269" Type="http://schemas.openxmlformats.org/officeDocument/2006/relationships/hyperlink" Target="https://www.fullmarksstore.jp/item/1401047850.html" TargetMode="External"/><Relationship Id="rId270" Type="http://schemas.openxmlformats.org/officeDocument/2006/relationships/hyperlink" Target="https://www.fullmarksstore.jp/item/1401046880.html" TargetMode="External"/><Relationship Id="rId271" Type="http://schemas.openxmlformats.org/officeDocument/2006/relationships/hyperlink" Target="https://www.fullmarksstore.jp/item/1401117630.html" TargetMode="External"/><Relationship Id="rId272" Type="http://schemas.openxmlformats.org/officeDocument/2006/relationships/hyperlink" Target="https://www.fullmarksstore.jp/item/1401095240.html" TargetMode="External"/><Relationship Id="rId273" Type="http://schemas.openxmlformats.org/officeDocument/2006/relationships/hyperlink" Target="https://www.fullmarksstore.jp/item/1401084480.html" TargetMode="External"/><Relationship Id="rId274" Type="http://schemas.openxmlformats.org/officeDocument/2006/relationships/hyperlink" Target="https://www.fullmarksstore.jp/item/1401081050.html" TargetMode="External"/><Relationship Id="rId275" Type="http://schemas.openxmlformats.org/officeDocument/2006/relationships/hyperlink" Target="https://www.fullmarksstore.jp/item/1401081030.html" TargetMode="External"/><Relationship Id="rId276" Type="http://schemas.openxmlformats.org/officeDocument/2006/relationships/hyperlink" Target="https://www.fullmarksstore.jp/item/1401081060.html" TargetMode="External"/><Relationship Id="rId277" Type="http://schemas.openxmlformats.org/officeDocument/2006/relationships/hyperlink" Target="https://www.fullmarksstore.jp/item/1401081040.html" TargetMode="External"/><Relationship Id="rId278" Type="http://schemas.openxmlformats.org/officeDocument/2006/relationships/hyperlink" Target="https://www.fullmarksstore.jp/item/1401063100.html" TargetMode="External"/><Relationship Id="rId279" Type="http://schemas.openxmlformats.org/officeDocument/2006/relationships/hyperlink" Target="https://www.fullmarksstore.jp/item/1401063110.html" TargetMode="External"/><Relationship Id="rId280" Type="http://schemas.openxmlformats.org/officeDocument/2006/relationships/hyperlink" Target="https://www.fullmarksstore.jp/item/1401017310.html" TargetMode="External"/><Relationship Id="rId281" Type="http://schemas.openxmlformats.org/officeDocument/2006/relationships/hyperlink" Target="https://www.fullmarksstore.jp/item/1401017040.html" TargetMode="External"/><Relationship Id="rId282" Type="http://schemas.openxmlformats.org/officeDocument/2006/relationships/hyperlink" Target="https://www.fullmarksstore.jp/item/1401017320.html" TargetMode="External"/><Relationship Id="rId283" Type="http://schemas.openxmlformats.org/officeDocument/2006/relationships/hyperlink" Target="https://www.fullmarksstore.jp/item/1401016310.html" TargetMode="External"/><Relationship Id="rId284" Type="http://schemas.openxmlformats.org/officeDocument/2006/relationships/hyperlink" Target="https://www.fullmarksstore.jp/item/1401016340.html" TargetMode="External"/><Relationship Id="rId285" Type="http://schemas.openxmlformats.org/officeDocument/2006/relationships/hyperlink" Target="https://www.fullmarksstore.jp/item/1401016300.html" TargetMode="External"/><Relationship Id="rId286" Type="http://schemas.openxmlformats.org/officeDocument/2006/relationships/hyperlink" Target="https://www.fullmarksstore.jp/item/1401016280.html" TargetMode="External"/><Relationship Id="rId287" Type="http://schemas.openxmlformats.org/officeDocument/2006/relationships/hyperlink" Target="https://www.fullmarksstore.jp/item/1401027370.html" TargetMode="External"/><Relationship Id="rId288" Type="http://schemas.openxmlformats.org/officeDocument/2006/relationships/hyperlink" Target="https://www.fullmarksstore.jp/item/1401027300.html" TargetMode="External"/><Relationship Id="rId289" Type="http://schemas.openxmlformats.org/officeDocument/2006/relationships/hyperlink" Target="https://www.fullmarksstore.jp/item/1401027510.html" TargetMode="External"/><Relationship Id="rId290" Type="http://schemas.openxmlformats.org/officeDocument/2006/relationships/hyperlink" Target="https://www.fullmarksstore.jp/item/1401032790.html" TargetMode="External"/><Relationship Id="rId291" Type="http://schemas.openxmlformats.org/officeDocument/2006/relationships/hyperlink" Target="https://www.fullmarksstore.jp/item/1401080990.html" TargetMode="External"/><Relationship Id="rId292" Type="http://schemas.openxmlformats.org/officeDocument/2006/relationships/hyperlink" Target="https://www.fullmarksstore.jp/item/1401080970.html" TargetMode="External"/><Relationship Id="rId293" Type="http://schemas.openxmlformats.org/officeDocument/2006/relationships/hyperlink" Target="https://www.fullmarksstore.jp/item/1401081000.html" TargetMode="External"/><Relationship Id="rId294" Type="http://schemas.openxmlformats.org/officeDocument/2006/relationships/hyperlink" Target="https://www.fullmarksstore.jp/item/1401080980.html" TargetMode="External"/><Relationship Id="rId295" Type="http://schemas.openxmlformats.org/officeDocument/2006/relationships/hyperlink" Target="https://www.fullmarksstore.jp/item/1401016330.html" TargetMode="External"/><Relationship Id="rId296" Type="http://schemas.openxmlformats.org/officeDocument/2006/relationships/hyperlink" Target="https://www.fullmarksstore.jp/item/1401016320.html" TargetMode="External"/><Relationship Id="rId297" Type="http://schemas.openxmlformats.org/officeDocument/2006/relationships/hyperlink" Target="https://www.fullmarksstore.jp/item/1401016350.html" TargetMode="External"/><Relationship Id="rId298" Type="http://schemas.openxmlformats.org/officeDocument/2006/relationships/hyperlink" Target="https://www.fullmarksstore.jp/item/1401016360.html" TargetMode="External"/><Relationship Id="rId299" Type="http://schemas.openxmlformats.org/officeDocument/2006/relationships/hyperlink" Target="https://www.fullmarksstore.jp/item/1401000000.html" TargetMode="External"/><Relationship Id="rId300" Type="http://schemas.openxmlformats.org/officeDocument/2006/relationships/hyperlink" Target="https://www.fullmarksstore.jp/item/1401016370.html" TargetMode="External"/><Relationship Id="rId301" Type="http://schemas.openxmlformats.org/officeDocument/2006/relationships/hyperlink" Target="https://www.fullmarksstore.jp/item/1401032770.html" TargetMode="External"/><Relationship Id="rId302" Type="http://schemas.openxmlformats.org/officeDocument/2006/relationships/hyperlink" Target="https://www.fullmarksstore.jp/item/1100104830.html" TargetMode="External"/><Relationship Id="rId303" Type="http://schemas.openxmlformats.org/officeDocument/2006/relationships/hyperlink" Target="https://www.fullmarksstore.jp/item/1100104880.html" TargetMode="External"/><Relationship Id="rId304" Type="http://schemas.openxmlformats.org/officeDocument/2006/relationships/hyperlink" Target="https://www.fullmarksstore.jp/item/1104092000.html" TargetMode="External"/><Relationship Id="rId305" Type="http://schemas.openxmlformats.org/officeDocument/2006/relationships/hyperlink" Target="https://www.fullmarksstore.jp/item/1104143600.html" TargetMode="External"/><Relationship Id="rId306" Type="http://schemas.openxmlformats.org/officeDocument/2006/relationships/hyperlink" Target="https://www.fullmarksstore.jp/item/1100200970.html" TargetMode="External"/><Relationship Id="rId307" Type="http://schemas.openxmlformats.org/officeDocument/2006/relationships/hyperlink" Target="https://www.fullmarksstore.jp/item/1102016800.html" TargetMode="External"/><Relationship Id="rId308" Type="http://schemas.openxmlformats.org/officeDocument/2006/relationships/hyperlink" Target="https://www.fullmarksstore.jp/item/1102017800.html" TargetMode="External"/><Relationship Id="rId309" Type="http://schemas.openxmlformats.org/officeDocument/2006/relationships/hyperlink" Target="https://www.fullmarksstore.jp/item/1101041100.html" TargetMode="External"/><Relationship Id="rId310" Type="http://schemas.openxmlformats.org/officeDocument/2006/relationships/hyperlink" Target="https://www.fullmarksstore.jp/item/1101041400.html" TargetMode="External"/><Relationship Id="rId311" Type="http://schemas.openxmlformats.org/officeDocument/2006/relationships/hyperlink" Target="https://www.fullmarksstore.jp/item/1101041200.html" TargetMode="External"/><Relationship Id="rId312" Type="http://schemas.openxmlformats.org/officeDocument/2006/relationships/hyperlink" Target="https://www.fullmarksstore.jp/item/1101041300.html" TargetMode="External"/><Relationship Id="rId313" Type="http://schemas.openxmlformats.org/officeDocument/2006/relationships/hyperlink" Target="https://www.fullmarksstore.jp/item/1107006300.html" TargetMode="External"/><Relationship Id="rId314" Type="http://schemas.openxmlformats.org/officeDocument/2006/relationships/hyperlink" Target="https://www.fullmarksstore.jp/item/1104043200.html" TargetMode="External"/><Relationship Id="rId315" Type="http://schemas.openxmlformats.org/officeDocument/2006/relationships/hyperlink" Target="https://www.fullmarksstore.jp/item/1100408450.html" TargetMode="External"/><Relationship Id="rId316" Type="http://schemas.openxmlformats.org/officeDocument/2006/relationships/hyperlink" Target="https://www.fullmarksstore.jp/item/1100408410.html" TargetMode="External"/><Relationship Id="rId317" Type="http://schemas.openxmlformats.org/officeDocument/2006/relationships/hyperlink" Target="https://www.fullmarksstore.jp/item/1100414200.html" TargetMode="External"/><Relationship Id="rId318" Type="http://schemas.openxmlformats.org/officeDocument/2006/relationships/hyperlink" Target="https://www.fullmarksstore.jp/item/1107004100.html" TargetMode="External"/><Relationship Id="rId319" Type="http://schemas.openxmlformats.org/officeDocument/2006/relationships/hyperlink" Target="https://www.fullmarksstore.jp/item/1106430800.html" TargetMode="External"/><Relationship Id="rId320" Type="http://schemas.openxmlformats.org/officeDocument/2006/relationships/hyperlink" Target="https://www.fullmarksstore.jp/item/1100104860.html" TargetMode="External"/><Relationship Id="rId321" Type="http://schemas.openxmlformats.org/officeDocument/2006/relationships/hyperlink" Target="https://www.fullmarksstore.jp/item/1107040900.html" TargetMode="External"/><Relationship Id="rId322" Type="http://schemas.openxmlformats.org/officeDocument/2006/relationships/hyperlink" Target="https://www.fullmarksstore.jp/item/1101101300.html" TargetMode="External"/><Relationship Id="rId323" Type="http://schemas.openxmlformats.org/officeDocument/2006/relationships/hyperlink" Target="https://www.fullmarksstore.jp/item/1100510640.html" TargetMode="External"/><Relationship Id="rId324" Type="http://schemas.openxmlformats.org/officeDocument/2006/relationships/hyperlink" Target="https://www.fullmarksstore.jp/item/1105106600.html" TargetMode="External"/><Relationship Id="rId325" Type="http://schemas.openxmlformats.org/officeDocument/2006/relationships/hyperlink" Target="https://www.fullmarksstore.jp/item/1105702500.html" TargetMode="External"/><Relationship Id="rId326" Type="http://schemas.openxmlformats.org/officeDocument/2006/relationships/hyperlink" Target="https://www.fullmarksstore.jp/item/1105703200.html" TargetMode="External"/><Relationship Id="rId327" Type="http://schemas.openxmlformats.org/officeDocument/2006/relationships/hyperlink" Target="https://www.fullmarksstore.jp/item/1100510840.html" TargetMode="External"/><Relationship Id="rId328" Type="http://schemas.openxmlformats.org/officeDocument/2006/relationships/hyperlink" Target="https://www.fullmarksstore.jp/item/1102032700.html" TargetMode="External"/><Relationship Id="rId329" Type="http://schemas.openxmlformats.org/officeDocument/2006/relationships/hyperlink" Target="https://www.fullmarksstore.jp/item/1100414250.html" TargetMode="External"/><Relationship Id="rId330" Type="http://schemas.openxmlformats.org/officeDocument/2006/relationships/hyperlink" Target="https://www.fullmarksstore.jp/item/1100408510.html" TargetMode="External"/><Relationship Id="rId331" Type="http://schemas.openxmlformats.org/officeDocument/2006/relationships/hyperlink" Target="https://www.fullmarksstore.jp/item/1100101140.html" TargetMode="External"/><Relationship Id="rId332" Type="http://schemas.openxmlformats.org/officeDocument/2006/relationships/hyperlink" Target="https://www.fullmarksstore.jp/item/1100101170.html" TargetMode="External"/><Relationship Id="rId333" Type="http://schemas.openxmlformats.org/officeDocument/2006/relationships/hyperlink" Target="https://www.fullmarksstore.jp/item/1101010900.html" TargetMode="External"/><Relationship Id="rId334" Type="http://schemas.openxmlformats.org/officeDocument/2006/relationships/hyperlink" Target="https://www.fullmarksstore.jp/item/1100101190.html" TargetMode="External"/><Relationship Id="rId335" Type="http://schemas.openxmlformats.org/officeDocument/2006/relationships/hyperlink" Target="https://www.fullmarksstore.jp/item/1100101080.html" TargetMode="External"/><Relationship Id="rId336" Type="http://schemas.openxmlformats.org/officeDocument/2006/relationships/hyperlink" Target="https://www.fullmarksstore.jp/item/1100414270.html" TargetMode="External"/><Relationship Id="rId337" Type="http://schemas.openxmlformats.org/officeDocument/2006/relationships/hyperlink" Target="https://www.fullmarksstore.jp/item/1100408610.html" TargetMode="External"/><Relationship Id="rId338" Type="http://schemas.openxmlformats.org/officeDocument/2006/relationships/hyperlink" Target="https://www.fullmarksstore.jp/item/1106431100.html" TargetMode="External"/><Relationship Id="rId339" Type="http://schemas.openxmlformats.org/officeDocument/2006/relationships/hyperlink" Target="https://www.fullmarksstore.jp/item/1106431200.html" TargetMode="External"/><Relationship Id="rId340" Type="http://schemas.openxmlformats.org/officeDocument/2006/relationships/hyperlink" Target="https://www.fullmarksstore.jp/item/1106431900.html" TargetMode="External"/><Relationship Id="rId341" Type="http://schemas.openxmlformats.org/officeDocument/2006/relationships/hyperlink" Target="https://www.fullmarksstore.jp/item/1106431300.html" TargetMode="External"/><Relationship Id="rId342" Type="http://schemas.openxmlformats.org/officeDocument/2006/relationships/hyperlink" Target="https://www.fullmarksstore.jp/item/1106431400.html" TargetMode="External"/><Relationship Id="rId343" Type="http://schemas.openxmlformats.org/officeDocument/2006/relationships/hyperlink" Target="https://www.fullmarksstore.jp/item/1106005000.html" TargetMode="External"/><Relationship Id="rId344" Type="http://schemas.openxmlformats.org/officeDocument/2006/relationships/hyperlink" Target="https://www.fullmarksstore.jp/item/1100616510.html" TargetMode="External"/><Relationship Id="rId345" Type="http://schemas.openxmlformats.org/officeDocument/2006/relationships/hyperlink" Target="https://www.fullmarksstore.jp/item/1106431700.html" TargetMode="External"/><Relationship Id="rId346" Type="http://schemas.openxmlformats.org/officeDocument/2006/relationships/hyperlink" Target="https://www.fullmarksstore.jp/item/1106431800.html" TargetMode="External"/><Relationship Id="rId347" Type="http://schemas.openxmlformats.org/officeDocument/2006/relationships/hyperlink" Target="https://www.fullmarksstore.jp/item/1100616520.html" TargetMode="External"/><Relationship Id="rId348" Type="http://schemas.openxmlformats.org/officeDocument/2006/relationships/hyperlink" Target="https://www.fullmarksstore.jp/item/1102002600.html" TargetMode="External"/><Relationship Id="rId349" Type="http://schemas.openxmlformats.org/officeDocument/2006/relationships/hyperlink" Target="https://www.fullmarksstore.jp/item/1106516100.html" TargetMode="External"/><Relationship Id="rId350" Type="http://schemas.openxmlformats.org/officeDocument/2006/relationships/hyperlink" Target="https://www.fullmarksstore.jp/item/1100408710.html" TargetMode="External"/><Relationship Id="rId351" Type="http://schemas.openxmlformats.org/officeDocument/2006/relationships/hyperlink" Target="https://www.fullmarksstore.jp/item/1100414220.html" TargetMode="External"/><Relationship Id="rId352" Type="http://schemas.openxmlformats.org/officeDocument/2006/relationships/hyperlink" Target="https://www.fullmarksstore.jp/item/1102016700.html" TargetMode="External"/><Relationship Id="rId353" Type="http://schemas.openxmlformats.org/officeDocument/2006/relationships/hyperlink" Target="https://www.fullmarksstore.jp/item/1102017700.html" TargetMode="External"/><Relationship Id="rId354" Type="http://schemas.openxmlformats.org/officeDocument/2006/relationships/hyperlink" Target="https://www.fullmarksstore.jp/item/1100101810.html" TargetMode="External"/><Relationship Id="rId355" Type="http://schemas.openxmlformats.org/officeDocument/2006/relationships/hyperlink" Target="https://www.fullmarksstore.jp/item/1100101820.html" TargetMode="External"/><Relationship Id="rId356" Type="http://schemas.openxmlformats.org/officeDocument/2006/relationships/hyperlink" Target="https://www.fullmarksstore.jp/item/1107027700.html" TargetMode="External"/><Relationship Id="rId357" Type="http://schemas.openxmlformats.org/officeDocument/2006/relationships/hyperlink" Target="https://www.fullmarksstore.jp/item/1104083700.html" TargetMode="External"/><Relationship Id="rId358" Type="http://schemas.openxmlformats.org/officeDocument/2006/relationships/hyperlink" Target="https://www.fullmarksstore.jp/item/1100414320.html" TargetMode="External"/><Relationship Id="rId359" Type="http://schemas.openxmlformats.org/officeDocument/2006/relationships/hyperlink" Target="https://www.fullmarksstore.jp/item/1104092200.html" TargetMode="External"/><Relationship Id="rId360" Type="http://schemas.openxmlformats.org/officeDocument/2006/relationships/hyperlink" Target="https://www.fullmarksstore.jp/item/1105702700.html" TargetMode="External"/><Relationship Id="rId361" Type="http://schemas.openxmlformats.org/officeDocument/2006/relationships/hyperlink" Target="https://www.fullmarksstore.jp/item/1100510650.html" TargetMode="External"/><Relationship Id="rId362" Type="http://schemas.openxmlformats.org/officeDocument/2006/relationships/hyperlink" Target="https://www.fullmarksstore.jp/item/1100510850.html" TargetMode="External"/><Relationship Id="rId363" Type="http://schemas.openxmlformats.org/officeDocument/2006/relationships/hyperlink" Target="https://www.fullmarksstore.jp/item/1102032800.html" TargetMode="External"/><Relationship Id="rId364" Type="http://schemas.openxmlformats.org/officeDocument/2006/relationships/hyperlink" Target="https://www.fullmarksstore.jp/item/1100408910.html" TargetMode="External"/><Relationship Id="rId365" Type="http://schemas.openxmlformats.org/officeDocument/2006/relationships/hyperlink" Target="https://www.fullmarksstore.jp/item/1100414240.html" TargetMode="External"/><Relationship Id="rId366" Type="http://schemas.openxmlformats.org/officeDocument/2006/relationships/hyperlink" Target="https://www.fullmarksstore.jp/item/1103037500.html" TargetMode="External"/><Relationship Id="rId367" Type="http://schemas.openxmlformats.org/officeDocument/2006/relationships/hyperlink" Target="https://www.fullmarksstore.jp/item/1101088300.html" TargetMode="External"/><Relationship Id="rId368" Type="http://schemas.openxmlformats.org/officeDocument/2006/relationships/hyperlink" Target="https://www.fullmarksstore.jp/item/1100201210.html" TargetMode="External"/><Relationship Id="rId369" Type="http://schemas.openxmlformats.org/officeDocument/2006/relationships/hyperlink" Target="https://www.fullmarksstore.jp/item/1100201220.html" TargetMode="External"/><Relationship Id="rId370" Type="http://schemas.openxmlformats.org/officeDocument/2006/relationships/hyperlink" Target="https://www.fullmarksstore.jp/item/1102112000.html" TargetMode="External"/><Relationship Id="rId371" Type="http://schemas.openxmlformats.org/officeDocument/2006/relationships/hyperlink" Target="https://www.fullmarksstore.jp/item/1100211100.html" TargetMode="External"/><Relationship Id="rId372" Type="http://schemas.openxmlformats.org/officeDocument/2006/relationships/hyperlink" Target="https://www.fullmarksstore.jp/item/1100201301.html" TargetMode="External"/><Relationship Id="rId373" Type="http://schemas.openxmlformats.org/officeDocument/2006/relationships/hyperlink" Target="https://www.fullmarksstore.jp/item/1105822500.html" TargetMode="External"/><Relationship Id="rId374" Type="http://schemas.openxmlformats.org/officeDocument/2006/relationships/hyperlink" Target="https://www.fullmarksstore.jp/item/1105822600.html" TargetMode="External"/><Relationship Id="rId375" Type="http://schemas.openxmlformats.org/officeDocument/2006/relationships/hyperlink" Target="https://www.fullmarksstore.jp/item/1106516500.html" TargetMode="External"/><Relationship Id="rId376" Type="http://schemas.openxmlformats.org/officeDocument/2006/relationships/hyperlink" Target="https://www.fullmarksstore.jp/item/1106516400.html" TargetMode="External"/><Relationship Id="rId377" Type="http://schemas.openxmlformats.org/officeDocument/2006/relationships/hyperlink" Target="https://www.fullmarksstore.jp/item/1106516300.html" TargetMode="External"/><Relationship Id="rId378" Type="http://schemas.openxmlformats.org/officeDocument/2006/relationships/hyperlink" Target="https://www.fullmarksstore.jp/item/1102512300.html" TargetMode="External"/><Relationship Id="rId379" Type="http://schemas.openxmlformats.org/officeDocument/2006/relationships/hyperlink" Target="https://www.fullmarksstore.jp/item/1102512200.html" TargetMode="External"/><Relationship Id="rId380" Type="http://schemas.openxmlformats.org/officeDocument/2006/relationships/hyperlink" Target="https://www.fullmarksstore.jp/item/1101074600.html" TargetMode="External"/><Relationship Id="rId381" Type="http://schemas.openxmlformats.org/officeDocument/2006/relationships/hyperlink" Target="https://www.fullmarksstore.jp/item/1101082000.html" TargetMode="External"/><Relationship Id="rId382" Type="http://schemas.openxmlformats.org/officeDocument/2006/relationships/hyperlink" Target="https://www.fullmarksstore.jp/item/1101059100.html" TargetMode="External"/><Relationship Id="rId383" Type="http://schemas.openxmlformats.org/officeDocument/2006/relationships/hyperlink" Target="https://www.fullmarksstore.jp/item/1101059300.html" TargetMode="External"/><Relationship Id="rId384" Type="http://schemas.openxmlformats.org/officeDocument/2006/relationships/hyperlink" Target="https://www.fullmarksstore.jp/item/1101081400.html" TargetMode="External"/><Relationship Id="rId385" Type="http://schemas.openxmlformats.org/officeDocument/2006/relationships/hyperlink" Target="https://www.fullmarksstore.jp/item/1101084500.html" TargetMode="External"/><Relationship Id="rId386" Type="http://schemas.openxmlformats.org/officeDocument/2006/relationships/hyperlink" Target="https://www.fullmarksstore.jp/item/1100110400.html" TargetMode="External"/><Relationship Id="rId387" Type="http://schemas.openxmlformats.org/officeDocument/2006/relationships/hyperlink" Target="https://www.fullmarksstore.jp/item/1100101210.html" TargetMode="External"/><Relationship Id="rId388" Type="http://schemas.openxmlformats.org/officeDocument/2006/relationships/hyperlink" Target="https://www.fullmarksstore.jp/item/1100110600.html" TargetMode="External"/><Relationship Id="rId389" Type="http://schemas.openxmlformats.org/officeDocument/2006/relationships/hyperlink" Target="https://www.fullmarksstore.jp/item/1101103000.html" TargetMode="External"/><Relationship Id="rId390" Type="http://schemas.openxmlformats.org/officeDocument/2006/relationships/hyperlink" Target="https://www.fullmarksstore.jp/item/1100210100.html" TargetMode="External"/><Relationship Id="rId391" Type="http://schemas.openxmlformats.org/officeDocument/2006/relationships/hyperlink" Target="https://www.fullmarksstore.jp/item/1100101400.html" TargetMode="External"/><Relationship Id="rId392" Type="http://schemas.openxmlformats.org/officeDocument/2006/relationships/hyperlink" Target="https://www.fullmarksstore.jp/item/1100110200.html" TargetMode="External"/><Relationship Id="rId393" Type="http://schemas.openxmlformats.org/officeDocument/2006/relationships/hyperlink" Target="https://www.fullmarksstore.jp/item/1100200131.html" TargetMode="External"/><Relationship Id="rId394" Type="http://schemas.openxmlformats.org/officeDocument/2006/relationships/hyperlink" Target="https://www.fullmarksstore.jp/item/1100120110.html" TargetMode="External"/><Relationship Id="rId395" Type="http://schemas.openxmlformats.org/officeDocument/2006/relationships/hyperlink" Target="https://www.fullmarksstore.jp/item/1100100400.html" TargetMode="External"/><Relationship Id="rId396" Type="http://schemas.openxmlformats.org/officeDocument/2006/relationships/hyperlink" Target="https://www.fullmarksstore.jp/item/1100200130.html" TargetMode="External"/><Relationship Id="rId397" Type="http://schemas.openxmlformats.org/officeDocument/2006/relationships/hyperlink" Target="https://www.fullmarksstore.jp/item/1102512400.html" TargetMode="External"/><Relationship Id="rId398" Type="http://schemas.openxmlformats.org/officeDocument/2006/relationships/hyperlink" Target="https://www.fullmarksstore.jp/item/1102044000.html" TargetMode="External"/><Relationship Id="rId399" Type="http://schemas.openxmlformats.org/officeDocument/2006/relationships/hyperlink" Target="https://www.fullmarksstore.jp/item/1102047100.html" TargetMode="External"/><Relationship Id="rId400" Type="http://schemas.openxmlformats.org/officeDocument/2006/relationships/hyperlink" Target="https://www.fullmarksstore.jp/item/1100704740.html" TargetMode="External"/><Relationship Id="rId401" Type="http://schemas.openxmlformats.org/officeDocument/2006/relationships/hyperlink" Target="https://www.fullmarksstore.jp/item/1100901200.html" TargetMode="External"/><Relationship Id="rId402" Type="http://schemas.openxmlformats.org/officeDocument/2006/relationships/hyperlink" Target="https://www.fullmarksstore.jp/item/1100901100.html" TargetMode="External"/><Relationship Id="rId403" Type="http://schemas.openxmlformats.org/officeDocument/2006/relationships/hyperlink" Target="https://www.fullmarksstore.jp/item/1107035500.html" TargetMode="External"/><Relationship Id="rId404" Type="http://schemas.openxmlformats.org/officeDocument/2006/relationships/hyperlink" Target="https://www.fullmarksstore.jp/item/1106516900.html" TargetMode="External"/><Relationship Id="rId405" Type="http://schemas.openxmlformats.org/officeDocument/2006/relationships/hyperlink" Target="https://www.fullmarksstore.jp/item/1105275800.html" TargetMode="External"/><Relationship Id="rId406" Type="http://schemas.openxmlformats.org/officeDocument/2006/relationships/hyperlink" Target="https://www.fullmarksstore.jp/item/1105292400.html" TargetMode="External"/><Relationship Id="rId407" Type="http://schemas.openxmlformats.org/officeDocument/2006/relationships/hyperlink" Target="https://www.fullmarksstore.jp/item/1105234600.html" TargetMode="External"/><Relationship Id="rId408" Type="http://schemas.openxmlformats.org/officeDocument/2006/relationships/hyperlink" Target="https://www.fullmarksstore.jp/item/1105292900.html" TargetMode="External"/><Relationship Id="rId409" Type="http://schemas.openxmlformats.org/officeDocument/2006/relationships/hyperlink" Target="https://www.fullmarksstore.jp/item/1105232300.html" TargetMode="External"/><Relationship Id="rId410" Type="http://schemas.openxmlformats.org/officeDocument/2006/relationships/hyperlink" Target="https://www.fullmarksstore.jp/item/1105232500.html" TargetMode="External"/><Relationship Id="rId411" Type="http://schemas.openxmlformats.org/officeDocument/2006/relationships/hyperlink" Target="https://www.fullmarksstore.jp/item/1105232400.html" TargetMode="External"/><Relationship Id="rId412" Type="http://schemas.openxmlformats.org/officeDocument/2006/relationships/hyperlink" Target="https://www.fullmarksstore.jp/item/1105231800.html" TargetMode="External"/><Relationship Id="rId413" Type="http://schemas.openxmlformats.org/officeDocument/2006/relationships/hyperlink" Target="https://www.fullmarksstore.jp/item/1105290600.html" TargetMode="External"/><Relationship Id="rId414" Type="http://schemas.openxmlformats.org/officeDocument/2006/relationships/hyperlink" Target="https://www.fullmarksstore.jp/item/1105290500.html" TargetMode="External"/><Relationship Id="rId415" Type="http://schemas.openxmlformats.org/officeDocument/2006/relationships/hyperlink" Target="https://www.fullmarksstore.jp/item/1100204500.html" TargetMode="External"/><Relationship Id="rId416" Type="http://schemas.openxmlformats.org/officeDocument/2006/relationships/hyperlink" Target="https://www.fullmarksstore.jp/item/1101077200.html" TargetMode="External"/><Relationship Id="rId417" Type="http://schemas.openxmlformats.org/officeDocument/2006/relationships/hyperlink" Target="https://www.fullmarksstore.jp/item/1101079300.html" TargetMode="External"/><Relationship Id="rId418" Type="http://schemas.openxmlformats.org/officeDocument/2006/relationships/hyperlink" Target="https://www.fullmarksstore.jp/item/1101086400.html" TargetMode="External"/><Relationship Id="rId419" Type="http://schemas.openxmlformats.org/officeDocument/2006/relationships/hyperlink" Target="https://www.fullmarksstore.jp/item/1104025100.html" TargetMode="External"/><Relationship Id="rId420" Type="http://schemas.openxmlformats.org/officeDocument/2006/relationships/hyperlink" Target="https://www.fullmarksstore.jp/item/1104025000.html" TargetMode="External"/><Relationship Id="rId421" Type="http://schemas.openxmlformats.org/officeDocument/2006/relationships/hyperlink" Target="https://www.fullmarksstore.jp/item/1104124600.html" TargetMode="External"/><Relationship Id="rId422" Type="http://schemas.openxmlformats.org/officeDocument/2006/relationships/hyperlink" Target="https://www.fullmarksstore.jp/item/1102038200.html" TargetMode="External"/><Relationship Id="rId423" Type="http://schemas.openxmlformats.org/officeDocument/2006/relationships/hyperlink" Target="https://www.fullmarksstore.jp/item/1102038100.html" TargetMode="External"/><Relationship Id="rId424" Type="http://schemas.openxmlformats.org/officeDocument/2006/relationships/hyperlink" Target="https://www.fullmarksstore.jp/item/1101053000.html" TargetMode="External"/><Relationship Id="rId425" Type="http://schemas.openxmlformats.org/officeDocument/2006/relationships/hyperlink" Target="https://www.fullmarksstore.jp/item/1101107500.html" TargetMode="External"/><Relationship Id="rId426" Type="http://schemas.openxmlformats.org/officeDocument/2006/relationships/hyperlink" Target="https://www.fullmarksstore.jp/item/1106005300.html" TargetMode="External"/><Relationship Id="rId427" Type="http://schemas.openxmlformats.org/officeDocument/2006/relationships/hyperlink" Target="https://www.fullmarksstore.jp/item/1100616500.html" TargetMode="External"/><Relationship Id="rId428" Type="http://schemas.openxmlformats.org/officeDocument/2006/relationships/hyperlink" Target="https://www.fullmarksstore.jp/item/1100600550.html" TargetMode="External"/><Relationship Id="rId429" Type="http://schemas.openxmlformats.org/officeDocument/2006/relationships/hyperlink" Target="https://www.fullmarksstore.jp/item/1102039800.html" TargetMode="External"/><Relationship Id="rId430" Type="http://schemas.openxmlformats.org/officeDocument/2006/relationships/hyperlink" Target="https://www.fullmarksstore.jp/item/1104006900.html" TargetMode="External"/><Relationship Id="rId431" Type="http://schemas.openxmlformats.org/officeDocument/2006/relationships/hyperlink" Target="https://www.fullmarksstore.jp/item/1101073600.html" TargetMode="External"/><Relationship Id="rId432" Type="http://schemas.openxmlformats.org/officeDocument/2006/relationships/hyperlink" Target="https://www.fullmarksstore.jp/item/1100400680.html" TargetMode="External"/><Relationship Id="rId433" Type="http://schemas.openxmlformats.org/officeDocument/2006/relationships/hyperlink" Target="https://www.fullmarksstore.jp/item/1101021000.html" TargetMode="External"/><Relationship Id="rId434" Type="http://schemas.openxmlformats.org/officeDocument/2006/relationships/hyperlink" Target="https://www.fullmarksstore.jp/item/1101061100.html" TargetMode="External"/><Relationship Id="rId435" Type="http://schemas.openxmlformats.org/officeDocument/2006/relationships/hyperlink" Target="https://www.fullmarksstore.jp/item/1100108120.html" TargetMode="External"/><Relationship Id="rId436" Type="http://schemas.openxmlformats.org/officeDocument/2006/relationships/hyperlink" Target="https://www.fullmarksstore.jp/item/1101999000.html" TargetMode="External"/><Relationship Id="rId437" Type="http://schemas.openxmlformats.org/officeDocument/2006/relationships/hyperlink" Target="https://www.fullmarksstore.jp/item/1101101000.html" TargetMode="External"/><Relationship Id="rId438" Type="http://schemas.openxmlformats.org/officeDocument/2006/relationships/hyperlink" Target="https://www.fullmarksstore.jp/item/1103037600.html" TargetMode="External"/><Relationship Id="rId439" Type="http://schemas.openxmlformats.org/officeDocument/2006/relationships/hyperlink" Target="https://www.fullmarksstore.jp/item/1102038700.html" TargetMode="External"/><Relationship Id="rId440" Type="http://schemas.openxmlformats.org/officeDocument/2006/relationships/hyperlink" Target="https://www.fullmarksstore.jp/item/1107038000.html" TargetMode="External"/><Relationship Id="rId441" Type="http://schemas.openxmlformats.org/officeDocument/2006/relationships/hyperlink" Target="https://www.fullmarksstore.jp/item/1100106120.html" TargetMode="External"/><Relationship Id="rId442" Type="http://schemas.openxmlformats.org/officeDocument/2006/relationships/hyperlink" Target="https://www.fullmarksstore.jp/item/1102514300.html" TargetMode="External"/><Relationship Id="rId443" Type="http://schemas.openxmlformats.org/officeDocument/2006/relationships/hyperlink" Target="https://www.fullmarksstore.jp/item/1102513700.html" TargetMode="External"/><Relationship Id="rId444" Type="http://schemas.openxmlformats.org/officeDocument/2006/relationships/hyperlink" Target="https://www.fullmarksstore.jp/item/1102513600.html" TargetMode="External"/><Relationship Id="rId445" Type="http://schemas.openxmlformats.org/officeDocument/2006/relationships/hyperlink" Target="https://www.fullmarksstore.jp/item/1102513800.html" TargetMode="External"/><Relationship Id="rId446" Type="http://schemas.openxmlformats.org/officeDocument/2006/relationships/hyperlink" Target="https://www.fullmarksstore.jp/item/1102514100.html" TargetMode="External"/><Relationship Id="rId447" Type="http://schemas.openxmlformats.org/officeDocument/2006/relationships/hyperlink" Target="https://www.fullmarksstore.jp/item/1102514200.html" TargetMode="External"/><Relationship Id="rId448" Type="http://schemas.openxmlformats.org/officeDocument/2006/relationships/hyperlink" Target="https://www.fullmarksstore.jp/item/1102513500.html" TargetMode="External"/><Relationship Id="rId449" Type="http://schemas.openxmlformats.org/officeDocument/2006/relationships/hyperlink" Target="https://www.fullmarksstore.jp/item/1107029000.html" TargetMode="External"/><Relationship Id="rId450" Type="http://schemas.openxmlformats.org/officeDocument/2006/relationships/hyperlink" Target="https://www.fullmarksstore.jp/item/1101076700.html" TargetMode="External"/><Relationship Id="rId451" Type="http://schemas.openxmlformats.org/officeDocument/2006/relationships/hyperlink" Target="https://www.fullmarksstore.jp/item/1102047600.html" TargetMode="External"/><Relationship Id="rId452" Type="http://schemas.openxmlformats.org/officeDocument/2006/relationships/hyperlink" Target="https://www.fullmarksstore.jp/item/1102048200.html" TargetMode="External"/><Relationship Id="rId453" Type="http://schemas.openxmlformats.org/officeDocument/2006/relationships/hyperlink" Target="https://www.fullmarksstore.jp/item/1102048300.html" TargetMode="External"/><Relationship Id="rId454" Type="http://schemas.openxmlformats.org/officeDocument/2006/relationships/hyperlink" Target="https://www.fullmarksstore.jp/item/1100701200.html" TargetMode="External"/><Relationship Id="rId455" Type="http://schemas.openxmlformats.org/officeDocument/2006/relationships/hyperlink" Target="https://www.fullmarksstore.jp/item/1100701100.html" TargetMode="External"/><Relationship Id="rId456" Type="http://schemas.openxmlformats.org/officeDocument/2006/relationships/hyperlink" Target="https://www.fullmarksstore.jp/item/1100801200.html" TargetMode="External"/><Relationship Id="rId457" Type="http://schemas.openxmlformats.org/officeDocument/2006/relationships/hyperlink" Target="https://www.fullmarksstore.jp/item/1100801100.html" TargetMode="External"/><Relationship Id="rId458" Type="http://schemas.openxmlformats.org/officeDocument/2006/relationships/hyperlink" Target="https://www.fullmarksstore.jp/item/1105285300.html" TargetMode="External"/><Relationship Id="rId459" Type="http://schemas.openxmlformats.org/officeDocument/2006/relationships/hyperlink" Target="https://www.fullmarksstore.jp/item/1104027200.html" TargetMode="External"/><Relationship Id="rId460" Type="http://schemas.openxmlformats.org/officeDocument/2006/relationships/hyperlink" Target="https://www.fullmarksstore.jp/item/1203517260.html" TargetMode="External"/><Relationship Id="rId461" Type="http://schemas.openxmlformats.org/officeDocument/2006/relationships/hyperlink" Target="https://www.fullmarksstore.jp/item/1205601260.html" TargetMode="External"/><Relationship Id="rId462" Type="http://schemas.openxmlformats.org/officeDocument/2006/relationships/hyperlink" Target="https://www.fullmarksstore.jp/item/1205600260.html" TargetMode="External"/><Relationship Id="rId463" Type="http://schemas.openxmlformats.org/officeDocument/2006/relationships/hyperlink" Target="https://www.fullmarksstore.jp/item/1201956260.html" TargetMode="External"/><Relationship Id="rId464" Type="http://schemas.openxmlformats.org/officeDocument/2006/relationships/hyperlink" Target="https://www.fullmarksstore.jp/item/1201954260.html" TargetMode="External"/><Relationship Id="rId465" Type="http://schemas.openxmlformats.org/officeDocument/2006/relationships/hyperlink" Target="https://www.fullmarksstore.jp/item/1202673260.html" TargetMode="External"/><Relationship Id="rId466" Type="http://schemas.openxmlformats.org/officeDocument/2006/relationships/hyperlink" Target="https://www.fullmarksstore.jp/item/1202674260.html" TargetMode="External"/><Relationship Id="rId467" Type="http://schemas.openxmlformats.org/officeDocument/2006/relationships/hyperlink" Target="https://www.fullmarksstore.jp/item/1202643260.html" TargetMode="External"/><Relationship Id="rId468" Type="http://schemas.openxmlformats.org/officeDocument/2006/relationships/hyperlink" Target="https://www.fullmarksstore.jp/item/1202040260.html" TargetMode="External"/><Relationship Id="rId469" Type="http://schemas.openxmlformats.org/officeDocument/2006/relationships/hyperlink" Target="https://www.fullmarksstore.jp/item/1202042260.html" TargetMode="External"/><Relationship Id="rId470" Type="http://schemas.openxmlformats.org/officeDocument/2006/relationships/hyperlink" Target="https://www.fullmarksstore.jp/item/1202041260.html" TargetMode="External"/><Relationship Id="rId471" Type="http://schemas.openxmlformats.org/officeDocument/2006/relationships/hyperlink" Target="https://www.fullmarksstore.jp/item/1202043260.html" TargetMode="External"/><Relationship Id="rId472" Type="http://schemas.openxmlformats.org/officeDocument/2006/relationships/hyperlink" Target="https://www.fullmarksstore.jp/item/1201201260.html" TargetMode="External"/><Relationship Id="rId473" Type="http://schemas.openxmlformats.org/officeDocument/2006/relationships/hyperlink" Target="https://www.fullmarksstore.jp/item/1201203260.html" TargetMode="External"/><Relationship Id="rId474" Type="http://schemas.openxmlformats.org/officeDocument/2006/relationships/hyperlink" Target="https://www.fullmarksstore.jp/item/1201230260.html" TargetMode="External"/><Relationship Id="rId475" Type="http://schemas.openxmlformats.org/officeDocument/2006/relationships/hyperlink" Target="https://www.fullmarksstore.jp/item/1201232260.html" TargetMode="External"/><Relationship Id="rId476" Type="http://schemas.openxmlformats.org/officeDocument/2006/relationships/hyperlink" Target="https://www.fullmarksstore.jp/item/1201240260.html" TargetMode="External"/><Relationship Id="rId477" Type="http://schemas.openxmlformats.org/officeDocument/2006/relationships/hyperlink" Target="https://www.fullmarksstore.jp/item/1201242260.html" TargetMode="External"/><Relationship Id="rId478" Type="http://schemas.openxmlformats.org/officeDocument/2006/relationships/hyperlink" Target="https://www.fullmarksstore.jp/item/1201622260.html" TargetMode="External"/><Relationship Id="rId479" Type="http://schemas.openxmlformats.org/officeDocument/2006/relationships/hyperlink" Target="https://www.fullmarksstore.jp/item/1201834240.html" TargetMode="External"/><Relationship Id="rId480" Type="http://schemas.openxmlformats.org/officeDocument/2006/relationships/hyperlink" Target="https://www.fullmarksstore.jp/item/1201838240.html" TargetMode="External"/><Relationship Id="rId481" Type="http://schemas.openxmlformats.org/officeDocument/2006/relationships/hyperlink" Target="https://www.fullmarksstore.jp/item/1201835240.html" TargetMode="External"/><Relationship Id="rId482" Type="http://schemas.openxmlformats.org/officeDocument/2006/relationships/hyperlink" Target="https://www.fullmarksstore.jp/item/1201839240.html" TargetMode="External"/><Relationship Id="rId483" Type="http://schemas.openxmlformats.org/officeDocument/2006/relationships/hyperlink" Target="https://www.fullmarksstore.jp/item/1201810220.html" TargetMode="External"/><Relationship Id="rId484" Type="http://schemas.openxmlformats.org/officeDocument/2006/relationships/hyperlink" Target="https://www.fullmarksstore.jp/item/1201809220.html" TargetMode="External"/><Relationship Id="rId485" Type="http://schemas.openxmlformats.org/officeDocument/2006/relationships/hyperlink" Target="https://www.fullmarksstore.jp/item/1201833200.html" TargetMode="External"/><Relationship Id="rId486" Type="http://schemas.openxmlformats.org/officeDocument/2006/relationships/hyperlink" Target="https://www.fullmarksstore.jp/item/1201870200.html" TargetMode="External"/><Relationship Id="rId487" Type="http://schemas.openxmlformats.org/officeDocument/2006/relationships/hyperlink" Target="https://www.fullmarksstore.jp/item/1201822210.html" TargetMode="External"/><Relationship Id="rId488" Type="http://schemas.openxmlformats.org/officeDocument/2006/relationships/hyperlink" Target="https://www.fullmarksstore.jp/item/1201823210.html" TargetMode="External"/><Relationship Id="rId489" Type="http://schemas.openxmlformats.org/officeDocument/2006/relationships/hyperlink" Target="https://www.fullmarksstore.jp/item/1201825210.html" TargetMode="External"/><Relationship Id="rId490" Type="http://schemas.openxmlformats.org/officeDocument/2006/relationships/hyperlink" Target="https://www.fullmarksstore.jp/item/1201826210.html" TargetMode="External"/><Relationship Id="rId491" Type="http://schemas.openxmlformats.org/officeDocument/2006/relationships/hyperlink" Target="https://www.fullmarksstore.jp/item/1201819210.html" TargetMode="External"/><Relationship Id="rId492" Type="http://schemas.openxmlformats.org/officeDocument/2006/relationships/hyperlink" Target="https://www.fullmarksstore.jp/item/1201820210.html" TargetMode="External"/><Relationship Id="rId493" Type="http://schemas.openxmlformats.org/officeDocument/2006/relationships/hyperlink" Target="https://www.fullmarksstore.jp/item/1201816210.html" TargetMode="External"/><Relationship Id="rId494" Type="http://schemas.openxmlformats.org/officeDocument/2006/relationships/hyperlink" Target="https://www.fullmarksstore.jp/item/1201817210.html" TargetMode="External"/><Relationship Id="rId495" Type="http://schemas.openxmlformats.org/officeDocument/2006/relationships/hyperlink" Target="https://www.fullmarksstore.jp/item/1201885250.html" TargetMode="External"/><Relationship Id="rId496" Type="http://schemas.openxmlformats.org/officeDocument/2006/relationships/hyperlink" Target="https://www.fullmarksstore.jp/item/1201887250.html" TargetMode="External"/><Relationship Id="rId497" Type="http://schemas.openxmlformats.org/officeDocument/2006/relationships/hyperlink" Target="https://www.fullmarksstore.jp/item/1201886250.html" TargetMode="External"/><Relationship Id="rId498" Type="http://schemas.openxmlformats.org/officeDocument/2006/relationships/hyperlink" Target="https://www.fullmarksstore.jp/item/1201888250.html" TargetMode="External"/><Relationship Id="rId499" Type="http://schemas.openxmlformats.org/officeDocument/2006/relationships/hyperlink" Target="https://www.fullmarksstore.jp/item/1201809230.html" TargetMode="External"/><Relationship Id="rId500" Type="http://schemas.openxmlformats.org/officeDocument/2006/relationships/hyperlink" Target="https://www.fullmarksstore.jp/item/1201950250.html" TargetMode="External"/><Relationship Id="rId501" Type="http://schemas.openxmlformats.org/officeDocument/2006/relationships/hyperlink" Target="https://www.fullmarksstore.jp/item/1201952250.html" TargetMode="External"/><Relationship Id="rId502" Type="http://schemas.openxmlformats.org/officeDocument/2006/relationships/hyperlink" Target="https://www.fullmarksstore.jp/item/1201956260.html" TargetMode="External"/><Relationship Id="rId503" Type="http://schemas.openxmlformats.org/officeDocument/2006/relationships/hyperlink" Target="https://www.fullmarksstore.jp/item/1201954260.html" TargetMode="External"/><Relationship Id="rId504" Type="http://schemas.openxmlformats.org/officeDocument/2006/relationships/hyperlink" Target="https://www.fullmarksstore.jp/item/1201810200.html" TargetMode="External"/><Relationship Id="rId505" Type="http://schemas.openxmlformats.org/officeDocument/2006/relationships/hyperlink" Target="https://www.fullmarksstore.jp/item/1201861200.html" TargetMode="External"/><Relationship Id="rId506" Type="http://schemas.openxmlformats.org/officeDocument/2006/relationships/hyperlink" Target="https://www.fullmarksstore.jp/item/1201891250.html" TargetMode="External"/><Relationship Id="rId507" Type="http://schemas.openxmlformats.org/officeDocument/2006/relationships/hyperlink" Target="https://www.fullmarksstore.jp/item/1201892250.html" TargetMode="External"/><Relationship Id="rId508" Type="http://schemas.openxmlformats.org/officeDocument/2006/relationships/hyperlink" Target="https://www.fullmarksstore.jp/item/1201827240.html" TargetMode="External"/><Relationship Id="rId509" Type="http://schemas.openxmlformats.org/officeDocument/2006/relationships/hyperlink" Target="https://www.fullmarksstore.jp/item/1201861240.html" TargetMode="External"/><Relationship Id="rId510" Type="http://schemas.openxmlformats.org/officeDocument/2006/relationships/hyperlink" Target="https://www.fullmarksstore.jp/item/1201814240.html" TargetMode="External"/><Relationship Id="rId511" Type="http://schemas.openxmlformats.org/officeDocument/2006/relationships/hyperlink" Target="https://www.fullmarksstore.jp/item/1201895260.html" TargetMode="External"/><Relationship Id="rId512" Type="http://schemas.openxmlformats.org/officeDocument/2006/relationships/hyperlink" Target="https://www.fullmarksstore.jp/item/1201896260.html" TargetMode="External"/><Relationship Id="rId513" Type="http://schemas.openxmlformats.org/officeDocument/2006/relationships/hyperlink" Target="https://www.fullmarksstore.jp/item/1201897260.html" TargetMode="External"/><Relationship Id="rId514" Type="http://schemas.openxmlformats.org/officeDocument/2006/relationships/hyperlink" Target="https://www.fullmarksstore.jp/item/1201898260.html" TargetMode="External"/><Relationship Id="rId515" Type="http://schemas.openxmlformats.org/officeDocument/2006/relationships/hyperlink" Target="https://www.fullmarksstore.jp/item/1201891260.html" TargetMode="External"/><Relationship Id="rId516" Type="http://schemas.openxmlformats.org/officeDocument/2006/relationships/hyperlink" Target="https://www.fullmarksstore.jp/item/1201892260.html" TargetMode="External"/><Relationship Id="rId517" Type="http://schemas.openxmlformats.org/officeDocument/2006/relationships/hyperlink" Target="https://www.fullmarksstore.jp/item/1201842240.html" TargetMode="External"/><Relationship Id="rId518" Type="http://schemas.openxmlformats.org/officeDocument/2006/relationships/hyperlink" Target="https://www.fullmarksstore.jp/item/1201845240.html" TargetMode="External"/><Relationship Id="rId519" Type="http://schemas.openxmlformats.org/officeDocument/2006/relationships/hyperlink" Target="https://www.fullmarksstore.jp/item/1201951250.html" TargetMode="External"/><Relationship Id="rId520" Type="http://schemas.openxmlformats.org/officeDocument/2006/relationships/hyperlink" Target="https://www.fullmarksstore.jp/item/1201953250.html" TargetMode="External"/><Relationship Id="rId521" Type="http://schemas.openxmlformats.org/officeDocument/2006/relationships/hyperlink" Target="https://www.fullmarksstore.jp/item/1201813200.html" TargetMode="External"/><Relationship Id="rId522" Type="http://schemas.openxmlformats.org/officeDocument/2006/relationships/hyperlink" Target="https://www.fullmarksstore.jp/item/1201860200.html" TargetMode="External"/><Relationship Id="rId523" Type="http://schemas.openxmlformats.org/officeDocument/2006/relationships/hyperlink" Target="https://www.fullmarksstore.jp/item/1201801240.html" TargetMode="External"/><Relationship Id="rId524" Type="http://schemas.openxmlformats.org/officeDocument/2006/relationships/hyperlink" Target="https://www.fullmarksstore.jp/item/1201802240.html" TargetMode="External"/><Relationship Id="rId525" Type="http://schemas.openxmlformats.org/officeDocument/2006/relationships/hyperlink" Target="https://www.fullmarksstore.jp/item/1201804230.html" TargetMode="External"/><Relationship Id="rId526" Type="http://schemas.openxmlformats.org/officeDocument/2006/relationships/hyperlink" Target="https://www.fullmarksstore.jp/item/1201819240.html" TargetMode="External"/><Relationship Id="rId527" Type="http://schemas.openxmlformats.org/officeDocument/2006/relationships/hyperlink" Target="https://www.fullmarksstore.jp/item/1202679250.html" TargetMode="External"/><Relationship Id="rId528" Type="http://schemas.openxmlformats.org/officeDocument/2006/relationships/hyperlink" Target="https://www.fullmarksstore.jp/item/1202669250.html" TargetMode="External"/><Relationship Id="rId529" Type="http://schemas.openxmlformats.org/officeDocument/2006/relationships/hyperlink" Target="https://www.fullmarksstore.jp/item/1202624240.html" TargetMode="External"/><Relationship Id="rId530" Type="http://schemas.openxmlformats.org/officeDocument/2006/relationships/hyperlink" Target="https://www.fullmarksstore.jp/item/1202650250.html" TargetMode="External"/><Relationship Id="rId531" Type="http://schemas.openxmlformats.org/officeDocument/2006/relationships/hyperlink" Target="https://www.fullmarksstore.jp/item/1202651250.html" TargetMode="External"/><Relationship Id="rId532" Type="http://schemas.openxmlformats.org/officeDocument/2006/relationships/hyperlink" Target="https://www.fullmarksstore.jp/item/1205211220.html" TargetMode="External"/><Relationship Id="rId533" Type="http://schemas.openxmlformats.org/officeDocument/2006/relationships/hyperlink" Target="https://www.fullmarksstore.jp/item/1205209220.html" TargetMode="External"/><Relationship Id="rId534" Type="http://schemas.openxmlformats.org/officeDocument/2006/relationships/hyperlink" Target="https://www.fullmarksstore.jp/item/1205210220.html" TargetMode="External"/><Relationship Id="rId535" Type="http://schemas.openxmlformats.org/officeDocument/2006/relationships/hyperlink" Target="https://www.fullmarksstore.jp/item/1202640240.html" TargetMode="External"/><Relationship Id="rId536" Type="http://schemas.openxmlformats.org/officeDocument/2006/relationships/hyperlink" Target="https://www.fullmarksstore.jp/item/1202690260.html" TargetMode="External"/><Relationship Id="rId537" Type="http://schemas.openxmlformats.org/officeDocument/2006/relationships/hyperlink" Target="https://www.fullmarksstore.jp/item/1202685240.html" TargetMode="External"/><Relationship Id="rId538" Type="http://schemas.openxmlformats.org/officeDocument/2006/relationships/hyperlink" Target="https://www.fullmarksstore.jp/item/1202691240.html" TargetMode="External"/><Relationship Id="rId539" Type="http://schemas.openxmlformats.org/officeDocument/2006/relationships/hyperlink" Target="https://www.fullmarksstore.jp/item/1202700260.html" TargetMode="External"/><Relationship Id="rId540" Type="http://schemas.openxmlformats.org/officeDocument/2006/relationships/hyperlink" Target="https://www.fullmarksstore.jp/item/1202701260.html" TargetMode="External"/><Relationship Id="rId541" Type="http://schemas.openxmlformats.org/officeDocument/2006/relationships/hyperlink" Target="https://www.fullmarksstore.jp/item/1202702260.html" TargetMode="External"/><Relationship Id="rId542" Type="http://schemas.openxmlformats.org/officeDocument/2006/relationships/hyperlink" Target="https://www.fullmarksstore.jp/item/1202773250.html" TargetMode="External"/><Relationship Id="rId543" Type="http://schemas.openxmlformats.org/officeDocument/2006/relationships/hyperlink" Target="https://www.fullmarksstore.jp/item/1202774250.html" TargetMode="External"/><Relationship Id="rId544" Type="http://schemas.openxmlformats.org/officeDocument/2006/relationships/hyperlink" Target="https://www.fullmarksstore.jp/item/1202777250.html" TargetMode="External"/><Relationship Id="rId545" Type="http://schemas.openxmlformats.org/officeDocument/2006/relationships/hyperlink" Target="https://www.fullmarksstore.jp/item/1202778250.html" TargetMode="External"/><Relationship Id="rId546" Type="http://schemas.openxmlformats.org/officeDocument/2006/relationships/hyperlink" Target="https://www.fullmarksstore.jp/item/1202771250.html" TargetMode="External"/><Relationship Id="rId547" Type="http://schemas.openxmlformats.org/officeDocument/2006/relationships/hyperlink" Target="https://www.fullmarksstore.jp/item/1202667250.html" TargetMode="External"/><Relationship Id="rId548" Type="http://schemas.openxmlformats.org/officeDocument/2006/relationships/hyperlink" Target="https://www.fullmarksstore.jp/item/1202668250.html" TargetMode="External"/><Relationship Id="rId549" Type="http://schemas.openxmlformats.org/officeDocument/2006/relationships/hyperlink" Target="https://www.fullmarksstore.jp/item/1202760260.html" TargetMode="External"/><Relationship Id="rId550" Type="http://schemas.openxmlformats.org/officeDocument/2006/relationships/hyperlink" Target="https://www.fullmarksstore.jp/item/1202761260.html" TargetMode="External"/><Relationship Id="rId551" Type="http://schemas.openxmlformats.org/officeDocument/2006/relationships/hyperlink" Target="https://www.fullmarksstore.jp/item/1202625240.html" TargetMode="External"/><Relationship Id="rId552" Type="http://schemas.openxmlformats.org/officeDocument/2006/relationships/hyperlink" Target="https://www.fullmarksstore.jp/item/1202630240.html" TargetMode="External"/><Relationship Id="rId553" Type="http://schemas.openxmlformats.org/officeDocument/2006/relationships/hyperlink" Target="https://www.fullmarksstore.jp/item/1202660250.html" TargetMode="External"/><Relationship Id="rId554" Type="http://schemas.openxmlformats.org/officeDocument/2006/relationships/hyperlink" Target="https://www.fullmarksstore.jp/item/1202661250.html" TargetMode="External"/><Relationship Id="rId555" Type="http://schemas.openxmlformats.org/officeDocument/2006/relationships/hyperlink" Target="https://www.fullmarksstore.jp/item/1202673260.html" TargetMode="External"/><Relationship Id="rId556" Type="http://schemas.openxmlformats.org/officeDocument/2006/relationships/hyperlink" Target="https://www.fullmarksstore.jp/item/1202674260.html" TargetMode="External"/><Relationship Id="rId557" Type="http://schemas.openxmlformats.org/officeDocument/2006/relationships/hyperlink" Target="https://www.fullmarksstore.jp/item/1202643260.html" TargetMode="External"/><Relationship Id="rId558" Type="http://schemas.openxmlformats.org/officeDocument/2006/relationships/hyperlink" Target="https://www.fullmarksstore.jp/item/1202716250.html" TargetMode="External"/><Relationship Id="rId559" Type="http://schemas.openxmlformats.org/officeDocument/2006/relationships/hyperlink" Target="https://www.fullmarksstore.jp/item/1202717250.html" TargetMode="External"/><Relationship Id="rId560" Type="http://schemas.openxmlformats.org/officeDocument/2006/relationships/hyperlink" Target="https://www.fullmarksstore.jp/item/1202703260.html" TargetMode="External"/><Relationship Id="rId561" Type="http://schemas.openxmlformats.org/officeDocument/2006/relationships/hyperlink" Target="https://www.fullmarksstore.jp/item/1202775250.html" TargetMode="External"/><Relationship Id="rId562" Type="http://schemas.openxmlformats.org/officeDocument/2006/relationships/hyperlink" Target="https://www.fullmarksstore.jp/item/1202651240.html" TargetMode="External"/><Relationship Id="rId563" Type="http://schemas.openxmlformats.org/officeDocument/2006/relationships/hyperlink" Target="https://www.fullmarksstore.jp/item/1202664240.html" TargetMode="External"/><Relationship Id="rId564" Type="http://schemas.openxmlformats.org/officeDocument/2006/relationships/hyperlink" Target="https://www.fullmarksstore.jp/item/1201004220.html" TargetMode="External"/><Relationship Id="rId565" Type="http://schemas.openxmlformats.org/officeDocument/2006/relationships/hyperlink" Target="https://www.fullmarksstore.jp/item/1201050200.html" TargetMode="External"/><Relationship Id="rId566" Type="http://schemas.openxmlformats.org/officeDocument/2006/relationships/hyperlink" Target="https://www.fullmarksstore.jp/item/1201030250.html" TargetMode="External"/><Relationship Id="rId567" Type="http://schemas.openxmlformats.org/officeDocument/2006/relationships/hyperlink" Target="https://www.fullmarksstore.jp/item/1201031250.html" TargetMode="External"/><Relationship Id="rId568" Type="http://schemas.openxmlformats.org/officeDocument/2006/relationships/hyperlink" Target="https://www.fullmarksstore.jp/item/1201021240.html" TargetMode="External"/><Relationship Id="rId569" Type="http://schemas.openxmlformats.org/officeDocument/2006/relationships/hyperlink" Target="https://www.fullmarksstore.jp/item/1201025240.html" TargetMode="External"/><Relationship Id="rId570" Type="http://schemas.openxmlformats.org/officeDocument/2006/relationships/hyperlink" Target="https://www.fullmarksstore.jp/item/1201022240.html" TargetMode="External"/><Relationship Id="rId571" Type="http://schemas.openxmlformats.org/officeDocument/2006/relationships/hyperlink" Target="https://www.fullmarksstore.jp/item/1201026240.html" TargetMode="External"/><Relationship Id="rId572" Type="http://schemas.openxmlformats.org/officeDocument/2006/relationships/hyperlink" Target="https://www.fullmarksstore.jp/item/1201006250.html" TargetMode="External"/><Relationship Id="rId573" Type="http://schemas.openxmlformats.org/officeDocument/2006/relationships/hyperlink" Target="https://www.fullmarksstore.jp/item/1201008250.html" TargetMode="External"/><Relationship Id="rId574" Type="http://schemas.openxmlformats.org/officeDocument/2006/relationships/hyperlink" Target="https://www.fullmarksstore.jp/item/1201007250.html" TargetMode="External"/><Relationship Id="rId575" Type="http://schemas.openxmlformats.org/officeDocument/2006/relationships/hyperlink" Target="https://www.fullmarksstore.jp/item/1201009250.html" TargetMode="External"/><Relationship Id="rId576" Type="http://schemas.openxmlformats.org/officeDocument/2006/relationships/hyperlink" Target="https://www.fullmarksstore.jp/item/1201005250.html" TargetMode="External"/><Relationship Id="rId577" Type="http://schemas.openxmlformats.org/officeDocument/2006/relationships/hyperlink" Target="https://www.fullmarksstore.jp/item/1201023240.html" TargetMode="External"/><Relationship Id="rId578" Type="http://schemas.openxmlformats.org/officeDocument/2006/relationships/hyperlink" Target="https://www.fullmarksstore.jp/item/1201020240.html" TargetMode="External"/><Relationship Id="rId579" Type="http://schemas.openxmlformats.org/officeDocument/2006/relationships/hyperlink" Target="https://www.fullmarksstore.jp/item/1201024240.html" TargetMode="External"/><Relationship Id="rId580" Type="http://schemas.openxmlformats.org/officeDocument/2006/relationships/hyperlink" Target="https://www.fullmarksstore.jp/item/1201062170.html" TargetMode="External"/><Relationship Id="rId581" Type="http://schemas.openxmlformats.org/officeDocument/2006/relationships/hyperlink" Target="https://www.fullmarksstore.jp/item/1201090250.html" TargetMode="External"/><Relationship Id="rId582" Type="http://schemas.openxmlformats.org/officeDocument/2006/relationships/hyperlink" Target="https://www.fullmarksstore.jp/item/1201091250.html" TargetMode="External"/><Relationship Id="rId583" Type="http://schemas.openxmlformats.org/officeDocument/2006/relationships/hyperlink" Target="https://www.fullmarksstore.jp/item/1201064170.html" TargetMode="External"/><Relationship Id="rId584" Type="http://schemas.openxmlformats.org/officeDocument/2006/relationships/hyperlink" Target="https://www.fullmarksstore.jp/item/1201082250.html" TargetMode="External"/><Relationship Id="rId585" Type="http://schemas.openxmlformats.org/officeDocument/2006/relationships/hyperlink" Target="https://www.fullmarksstore.jp/item/1201083250.html" TargetMode="External"/><Relationship Id="rId586" Type="http://schemas.openxmlformats.org/officeDocument/2006/relationships/hyperlink" Target="https://www.fullmarksstore.jp/item/1201604250.html" TargetMode="External"/><Relationship Id="rId587" Type="http://schemas.openxmlformats.org/officeDocument/2006/relationships/hyperlink" Target="https://www.fullmarksstore.jp/item/1201606250.html" TargetMode="External"/><Relationship Id="rId588" Type="http://schemas.openxmlformats.org/officeDocument/2006/relationships/hyperlink" Target="https://www.fullmarksstore.jp/item/1201606240.html" TargetMode="External"/><Relationship Id="rId589" Type="http://schemas.openxmlformats.org/officeDocument/2006/relationships/hyperlink" Target="https://www.fullmarksstore.jp/item/1201608240.html" TargetMode="External"/><Relationship Id="rId590" Type="http://schemas.openxmlformats.org/officeDocument/2006/relationships/hyperlink" Target="https://www.fullmarksstore.jp/item/1201620230.html" TargetMode="External"/><Relationship Id="rId591" Type="http://schemas.openxmlformats.org/officeDocument/2006/relationships/hyperlink" Target="https://www.fullmarksstore.jp/item/1201622260.html" TargetMode="External"/><Relationship Id="rId592" Type="http://schemas.openxmlformats.org/officeDocument/2006/relationships/hyperlink" Target="https://www.fullmarksstore.jp/item/1201614240.html" TargetMode="External"/><Relationship Id="rId593" Type="http://schemas.openxmlformats.org/officeDocument/2006/relationships/hyperlink" Target="https://www.fullmarksstore.jp/item/1201613240.html" TargetMode="External"/><Relationship Id="rId594" Type="http://schemas.openxmlformats.org/officeDocument/2006/relationships/hyperlink" Target="https://www.fullmarksstore.jp/item/1201616240.html" TargetMode="External"/><Relationship Id="rId595" Type="http://schemas.openxmlformats.org/officeDocument/2006/relationships/hyperlink" Target="https://www.fullmarksstore.jp/item/1201615240.html" TargetMode="External"/><Relationship Id="rId596" Type="http://schemas.openxmlformats.org/officeDocument/2006/relationships/hyperlink" Target="https://www.fullmarksstore.jp/item/1201618240.html" TargetMode="External"/><Relationship Id="rId597" Type="http://schemas.openxmlformats.org/officeDocument/2006/relationships/hyperlink" Target="https://www.fullmarksstore.jp/item/1201682250.html" TargetMode="External"/><Relationship Id="rId598" Type="http://schemas.openxmlformats.org/officeDocument/2006/relationships/hyperlink" Target="https://www.fullmarksstore.jp/item/1201683250.html" TargetMode="External"/><Relationship Id="rId599" Type="http://schemas.openxmlformats.org/officeDocument/2006/relationships/hyperlink" Target="https://www.fullmarksstore.jp/item/1201684250.html" TargetMode="External"/><Relationship Id="rId600" Type="http://schemas.openxmlformats.org/officeDocument/2006/relationships/hyperlink" Target="https://www.fullmarksstore.jp/item/1201685250.html" TargetMode="External"/><Relationship Id="rId601" Type="http://schemas.openxmlformats.org/officeDocument/2006/relationships/hyperlink" Target="https://www.fullmarksstore.jp/item/1201680250.html" TargetMode="External"/><Relationship Id="rId602" Type="http://schemas.openxmlformats.org/officeDocument/2006/relationships/hyperlink" Target="https://www.fullmarksstore.jp/item/1201681250.html" TargetMode="External"/><Relationship Id="rId603" Type="http://schemas.openxmlformats.org/officeDocument/2006/relationships/hyperlink" Target="https://www.fullmarksstore.jp/item/1201624190.html" TargetMode="External"/><Relationship Id="rId604" Type="http://schemas.openxmlformats.org/officeDocument/2006/relationships/hyperlink" Target="https://www.fullmarksstore.jp/item/1201629190.html" TargetMode="External"/><Relationship Id="rId605" Type="http://schemas.openxmlformats.org/officeDocument/2006/relationships/hyperlink" Target="https://www.fullmarksstore.jp/item/1020017300.html" TargetMode="External"/><Relationship Id="rId606" Type="http://schemas.openxmlformats.org/officeDocument/2006/relationships/hyperlink" Target="https://www.fullmarksstore.jp/item/1020030000.html" TargetMode="External"/><Relationship Id="rId607" Type="http://schemas.openxmlformats.org/officeDocument/2006/relationships/hyperlink" Target="https://www.fullmarksstore.jp/item/1020035700.html" TargetMode="External"/><Relationship Id="rId608" Type="http://schemas.openxmlformats.org/officeDocument/2006/relationships/hyperlink" Target="https://www.fullmarksstore.jp/item/1000202100.html" TargetMode="External"/><Relationship Id="rId609" Type="http://schemas.openxmlformats.org/officeDocument/2006/relationships/hyperlink" Target="https://www.fullmarksstore.jp/item/1030006600.html" TargetMode="External"/><Relationship Id="rId610" Type="http://schemas.openxmlformats.org/officeDocument/2006/relationships/hyperlink" Target="https://www.fullmarksstore.jp/item/1030006610.html" TargetMode="External"/><Relationship Id="rId611" Type="http://schemas.openxmlformats.org/officeDocument/2006/relationships/hyperlink" Target="https://www.fullmarksstore.jp/item/1030006710.html" TargetMode="External"/><Relationship Id="rId612" Type="http://schemas.openxmlformats.org/officeDocument/2006/relationships/hyperlink" Target="https://www.fullmarksstore.jp/item/1030007300.html" TargetMode="External"/><Relationship Id="rId613" Type="http://schemas.openxmlformats.org/officeDocument/2006/relationships/hyperlink" Target="https://www.fullmarksstore.jp/item/1030007310.html" TargetMode="External"/><Relationship Id="rId614" Type="http://schemas.openxmlformats.org/officeDocument/2006/relationships/hyperlink" Target="https://www.fullmarksstore.jp/item/1030007800.html" TargetMode="External"/><Relationship Id="rId615" Type="http://schemas.openxmlformats.org/officeDocument/2006/relationships/hyperlink" Target="https://www.fullmarksstore.jp/item/1030007810.html" TargetMode="External"/><Relationship Id="rId616" Type="http://schemas.openxmlformats.org/officeDocument/2006/relationships/hyperlink" Target="https://www.fullmarksstore.jp/item/1030007820.html" TargetMode="External"/><Relationship Id="rId617" Type="http://schemas.openxmlformats.org/officeDocument/2006/relationships/hyperlink" Target="https://www.fullmarksstore.jp/item/1030016200.html" TargetMode="External"/><Relationship Id="rId618" Type="http://schemas.openxmlformats.org/officeDocument/2006/relationships/hyperlink" Target="https://www.fullmarksstore.jp/item/1030016210.html" TargetMode="External"/><Relationship Id="rId619" Type="http://schemas.openxmlformats.org/officeDocument/2006/relationships/hyperlink" Target="https://www.fullmarksstore.jp/item/1030018300.html" TargetMode="External"/><Relationship Id="rId620" Type="http://schemas.openxmlformats.org/officeDocument/2006/relationships/hyperlink" Target="https://www.fullmarksstore.jp/item/1030018800.html" TargetMode="External"/><Relationship Id="rId621" Type="http://schemas.openxmlformats.org/officeDocument/2006/relationships/hyperlink" Target="https://www.fullmarksstore.jp/item/1030018810.html" TargetMode="External"/><Relationship Id="rId622" Type="http://schemas.openxmlformats.org/officeDocument/2006/relationships/hyperlink" Target="https://www.fullmarksstore.jp/item/1030019700.html" TargetMode="External"/><Relationship Id="rId623" Type="http://schemas.openxmlformats.org/officeDocument/2006/relationships/hyperlink" Target="https://www.fullmarksstore.jp/item/1030019800.html" TargetMode="External"/><Relationship Id="rId624" Type="http://schemas.openxmlformats.org/officeDocument/2006/relationships/hyperlink" Target="https://www.fullmarksstore.jp/item/1030019810.html" TargetMode="External"/><Relationship Id="rId625" Type="http://schemas.openxmlformats.org/officeDocument/2006/relationships/hyperlink" Target="https://www.fullmarksstore.jp/item/1030019820.html" TargetMode="External"/><Relationship Id="rId626" Type="http://schemas.openxmlformats.org/officeDocument/2006/relationships/hyperlink" Target="https://www.fullmarksstore.jp/item/1030020800.html" TargetMode="External"/><Relationship Id="rId627" Type="http://schemas.openxmlformats.org/officeDocument/2006/relationships/hyperlink" Target="https://www.fullmarksstore.jp/item/1030020810.html" TargetMode="External"/><Relationship Id="rId628" Type="http://schemas.openxmlformats.org/officeDocument/2006/relationships/hyperlink" Target="https://www.fullmarksstore.jp/item/1030027000.html" TargetMode="External"/><Relationship Id="rId629" Type="http://schemas.openxmlformats.org/officeDocument/2006/relationships/hyperlink" Target="https://www.fullmarksstore.jp/item/1030027400.html" TargetMode="External"/><Relationship Id="rId630" Type="http://schemas.openxmlformats.org/officeDocument/2006/relationships/hyperlink" Target="https://www.fullmarksstore.jp/item/1030027410.html" TargetMode="External"/><Relationship Id="rId631" Type="http://schemas.openxmlformats.org/officeDocument/2006/relationships/hyperlink" Target="https://www.fullmarksstore.jp/item/1030027420.html" TargetMode="External"/><Relationship Id="rId632" Type="http://schemas.openxmlformats.org/officeDocument/2006/relationships/hyperlink" Target="https://www.fullmarksstore.jp/item/1030027600.html" TargetMode="External"/><Relationship Id="rId633" Type="http://schemas.openxmlformats.org/officeDocument/2006/relationships/hyperlink" Target="https://www.fullmarksstore.jp/item/1030027620.html" TargetMode="External"/><Relationship Id="rId634" Type="http://schemas.openxmlformats.org/officeDocument/2006/relationships/hyperlink" Target="https://www.fullmarksstore.jp/item/1030028200.html" TargetMode="External"/><Relationship Id="rId635" Type="http://schemas.openxmlformats.org/officeDocument/2006/relationships/hyperlink" Target="https://www.fullmarksstore.jp/item/1030028400.html" TargetMode="External"/><Relationship Id="rId636" Type="http://schemas.openxmlformats.org/officeDocument/2006/relationships/hyperlink" Target="https://www.fullmarksstore.jp/item/1030028410.html" TargetMode="External"/><Relationship Id="rId637" Type="http://schemas.openxmlformats.org/officeDocument/2006/relationships/hyperlink" Target="https://www.fullmarksstore.jp/item/1030028500.html" TargetMode="External"/><Relationship Id="rId638" Type="http://schemas.openxmlformats.org/officeDocument/2006/relationships/hyperlink" Target="https://www.fullmarksstore.jp/item/1030030220.html" TargetMode="External"/><Relationship Id="rId639" Type="http://schemas.openxmlformats.org/officeDocument/2006/relationships/hyperlink" Target="https://www.fullmarksstore.jp/item/1030031110.html" TargetMode="External"/><Relationship Id="rId640" Type="http://schemas.openxmlformats.org/officeDocument/2006/relationships/hyperlink" Target="https://www.fullmarksstore.jp/item/1030033200.html" TargetMode="External"/><Relationship Id="rId641" Type="http://schemas.openxmlformats.org/officeDocument/2006/relationships/hyperlink" Target="https://www.fullmarksstore.jp/item/1030033510.html" TargetMode="External"/><Relationship Id="rId642" Type="http://schemas.openxmlformats.org/officeDocument/2006/relationships/hyperlink" Target="https://www.fullmarksstore.jp/item/1030033600.html" TargetMode="External"/><Relationship Id="rId643" Type="http://schemas.openxmlformats.org/officeDocument/2006/relationships/hyperlink" Target="https://www.fullmarksstore.jp/item/1030034200.html" TargetMode="External"/><Relationship Id="rId644" Type="http://schemas.openxmlformats.org/officeDocument/2006/relationships/hyperlink" Target="https://www.fullmarksstore.jp/item/1030034900.html" TargetMode="External"/><Relationship Id="rId645" Type="http://schemas.openxmlformats.org/officeDocument/2006/relationships/hyperlink" Target="https://www.fullmarksstore.jp/item/1030036000.html" TargetMode="External"/><Relationship Id="rId646" Type="http://schemas.openxmlformats.org/officeDocument/2006/relationships/hyperlink" Target="https://www.fullmarksstore.jp/item/1030036010.html" TargetMode="External"/><Relationship Id="rId647" Type="http://schemas.openxmlformats.org/officeDocument/2006/relationships/hyperlink" Target="https://www.fullmarksstore.jp/item/1030036410.html" TargetMode="External"/><Relationship Id="rId648" Type="http://schemas.openxmlformats.org/officeDocument/2006/relationships/hyperlink" Target="https://www.fullmarksstore.jp/item/1030036500.html" TargetMode="External"/><Relationship Id="rId649" Type="http://schemas.openxmlformats.org/officeDocument/2006/relationships/hyperlink" Target="https://www.fullmarksstore.jp/item/1030036800.html" TargetMode="External"/><Relationship Id="rId650" Type="http://schemas.openxmlformats.org/officeDocument/2006/relationships/hyperlink" Target="https://www.fullmarksstore.jp/item/1030037010.html" TargetMode="External"/><Relationship Id="rId651" Type="http://schemas.openxmlformats.org/officeDocument/2006/relationships/hyperlink" Target="https://www.fullmarksstore.jp/item/1030039200.html" TargetMode="External"/><Relationship Id="rId652" Type="http://schemas.openxmlformats.org/officeDocument/2006/relationships/hyperlink" Target="https://www.fullmarksstore.jp/item/1030039210.html" TargetMode="External"/><Relationship Id="rId653" Type="http://schemas.openxmlformats.org/officeDocument/2006/relationships/hyperlink" Target="https://www.fullmarksstore.jp/item/1030039310.html" TargetMode="External"/><Relationship Id="rId654" Type="http://schemas.openxmlformats.org/officeDocument/2006/relationships/hyperlink" Target="https://www.fullmarksstore.jp/item/1030039700.html" TargetMode="External"/><Relationship Id="rId655" Type="http://schemas.openxmlformats.org/officeDocument/2006/relationships/hyperlink" Target="https://www.fullmarksstore.jp/item/1030041120.html" TargetMode="External"/><Relationship Id="rId656" Type="http://schemas.openxmlformats.org/officeDocument/2006/relationships/hyperlink" Target="https://www.fullmarksstore.jp/item/1000301900.html" TargetMode="External"/><Relationship Id="rId657" Type="http://schemas.openxmlformats.org/officeDocument/2006/relationships/hyperlink" Target="https://www.fullmarksstore.jp/item/71000301900.html" TargetMode="External"/><Relationship Id="rId658" Type="http://schemas.openxmlformats.org/officeDocument/2006/relationships/hyperlink" Target="https://www.fullmarksstore.jp/item/1000301920.html" TargetMode="External"/><Relationship Id="rId659" Type="http://schemas.openxmlformats.org/officeDocument/2006/relationships/hyperlink" Target="https://www.fullmarksstore.jp/item/1000304300.html" TargetMode="External"/><Relationship Id="rId660" Type="http://schemas.openxmlformats.org/officeDocument/2006/relationships/hyperlink" Target="https://www.fullmarksstore.jp/item/1000305700.html" TargetMode="External"/><Relationship Id="rId661" Type="http://schemas.openxmlformats.org/officeDocument/2006/relationships/hyperlink" Target="https://www.fullmarksstore.jp/item/1000305710.html" TargetMode="External"/><Relationship Id="rId662" Type="http://schemas.openxmlformats.org/officeDocument/2006/relationships/hyperlink" Target="https://www.fullmarksstore.jp/item/1000305720.html" TargetMode="External"/><Relationship Id="rId663" Type="http://schemas.openxmlformats.org/officeDocument/2006/relationships/hyperlink" Target="https://www.fullmarksstore.jp/item/1000305920.html" TargetMode="External"/><Relationship Id="rId664" Type="http://schemas.openxmlformats.org/officeDocument/2006/relationships/hyperlink" Target="https://www.fullmarksstore.jp/item/1000308300.html" TargetMode="External"/><Relationship Id="rId665" Type="http://schemas.openxmlformats.org/officeDocument/2006/relationships/hyperlink" Target="https://www.fullmarksstore.jp/item/1000308500.html" TargetMode="External"/><Relationship Id="rId666" Type="http://schemas.openxmlformats.org/officeDocument/2006/relationships/hyperlink" Target="https://www.fullmarksstore.jp/item/1000308720.html" TargetMode="External"/><Relationship Id="rId667" Type="http://schemas.openxmlformats.org/officeDocument/2006/relationships/hyperlink" Target="https://www.fullmarksstore.jp/item/1000311900.html" TargetMode="External"/><Relationship Id="rId668" Type="http://schemas.openxmlformats.org/officeDocument/2006/relationships/hyperlink" Target="https://www.fullmarksstore.jp/item/1000312200.html" TargetMode="External"/><Relationship Id="rId669" Type="http://schemas.openxmlformats.org/officeDocument/2006/relationships/hyperlink" Target="https://www.fullmarksstore.jp/item/1000312210.html" TargetMode="External"/><Relationship Id="rId670" Type="http://schemas.openxmlformats.org/officeDocument/2006/relationships/hyperlink" Target="https://www.fullmarksstore.jp/item/1000315200.html" TargetMode="External"/><Relationship Id="rId671" Type="http://schemas.openxmlformats.org/officeDocument/2006/relationships/hyperlink" Target="https://www.fullmarksstore.jp/item/1000315210.html" TargetMode="External"/><Relationship Id="rId672" Type="http://schemas.openxmlformats.org/officeDocument/2006/relationships/hyperlink" Target="https://www.fullmarksstore.jp/item/1000316500.html" TargetMode="External"/><Relationship Id="rId673" Type="http://schemas.openxmlformats.org/officeDocument/2006/relationships/hyperlink" Target="https://www.fullmarksstore.jp/item/1000316520.html" TargetMode="External"/><Relationship Id="rId674" Type="http://schemas.openxmlformats.org/officeDocument/2006/relationships/hyperlink" Target="https://www.fullmarksstore.jp/item/1000317410.html" TargetMode="External"/><Relationship Id="rId675" Type="http://schemas.openxmlformats.org/officeDocument/2006/relationships/hyperlink" Target="https://www.fullmarksstore.jp/item/1000317500.html" TargetMode="External"/><Relationship Id="rId676" Type="http://schemas.openxmlformats.org/officeDocument/2006/relationships/hyperlink" Target="https://www.fullmarksstore.jp/item/1000317510.html" TargetMode="External"/><Relationship Id="rId677" Type="http://schemas.openxmlformats.org/officeDocument/2006/relationships/hyperlink" Target="https://www.fullmarksstore.jp/item/1000319100.html" TargetMode="External"/><Relationship Id="rId678" Type="http://schemas.openxmlformats.org/officeDocument/2006/relationships/hyperlink" Target="https://www.fullmarksstore.jp/item/1000321100.html" TargetMode="External"/><Relationship Id="rId679" Type="http://schemas.openxmlformats.org/officeDocument/2006/relationships/hyperlink" Target="https://www.fullmarksstore.jp/item/1000321400.html" TargetMode="External"/><Relationship Id="rId680" Type="http://schemas.openxmlformats.org/officeDocument/2006/relationships/hyperlink" Target="https://www.fullmarksstore.jp/item/1000325300.html" TargetMode="External"/><Relationship Id="rId681" Type="http://schemas.openxmlformats.org/officeDocument/2006/relationships/hyperlink" Target="https://www.fullmarksstore.jp/item/1000325310.html" TargetMode="External"/><Relationship Id="rId682" Type="http://schemas.openxmlformats.org/officeDocument/2006/relationships/hyperlink" Target="https://www.fullmarksstore.jp/item/1000325320.html" TargetMode="External"/><Relationship Id="rId683" Type="http://schemas.openxmlformats.org/officeDocument/2006/relationships/hyperlink" Target="https://www.fullmarksstore.jp/item/1000329500.html" TargetMode="External"/><Relationship Id="rId684" Type="http://schemas.openxmlformats.org/officeDocument/2006/relationships/hyperlink" Target="https://www.fullmarksstore.jp/item/1000329900.html" TargetMode="External"/><Relationship Id="rId685" Type="http://schemas.openxmlformats.org/officeDocument/2006/relationships/hyperlink" Target="https://www.fullmarksstore.jp/item/1000329910.html" TargetMode="External"/><Relationship Id="rId686" Type="http://schemas.openxmlformats.org/officeDocument/2006/relationships/hyperlink" Target="https://www.fullmarksstore.jp/item/1000338720.html" TargetMode="External"/><Relationship Id="rId687" Type="http://schemas.openxmlformats.org/officeDocument/2006/relationships/hyperlink" Target="https://www.fullmarksstore.jp/item/1000338721.html" TargetMode="External"/><Relationship Id="rId688" Type="http://schemas.openxmlformats.org/officeDocument/2006/relationships/hyperlink" Target="https://www.fullmarksstore.jp/item/71000338720.html" TargetMode="External"/><Relationship Id="rId689" Type="http://schemas.openxmlformats.org/officeDocument/2006/relationships/hyperlink" Target="https://www.fullmarksstore.jp/item/1034006600.html" TargetMode="External"/><Relationship Id="rId690" Type="http://schemas.openxmlformats.org/officeDocument/2006/relationships/hyperlink" Target="https://www.fullmarksstore.jp/item/1034006610.html" TargetMode="External"/><Relationship Id="rId691" Type="http://schemas.openxmlformats.org/officeDocument/2006/relationships/hyperlink" Target="https://www.fullmarksstore.jp/item/1034007200.html" TargetMode="External"/><Relationship Id="rId692" Type="http://schemas.openxmlformats.org/officeDocument/2006/relationships/hyperlink" Target="https://www.fullmarksstore.jp/item/1000340300.html" TargetMode="External"/><Relationship Id="rId693" Type="http://schemas.openxmlformats.org/officeDocument/2006/relationships/hyperlink" Target="https://www.fullmarksstore.jp/item/1000340700.html" TargetMode="External"/><Relationship Id="rId694" Type="http://schemas.openxmlformats.org/officeDocument/2006/relationships/hyperlink" Target="https://www.fullmarksstore.jp/item/1000342500.html" TargetMode="External"/><Relationship Id="rId695" Type="http://schemas.openxmlformats.org/officeDocument/2006/relationships/hyperlink" Target="https://www.fullmarksstore.jp/item/1000342700.html" TargetMode="External"/><Relationship Id="rId696" Type="http://schemas.openxmlformats.org/officeDocument/2006/relationships/hyperlink" Target="https://www.fullmarksstore.jp/item/1000343700.html" TargetMode="External"/><Relationship Id="rId697" Type="http://schemas.openxmlformats.org/officeDocument/2006/relationships/hyperlink" Target="https://www.fullmarksstore.jp/item/1000343800.html" TargetMode="External"/><Relationship Id="rId698" Type="http://schemas.openxmlformats.org/officeDocument/2006/relationships/hyperlink" Target="https://www.fullmarksstore.jp/item/1000343900.html" TargetMode="External"/><Relationship Id="rId699" Type="http://schemas.openxmlformats.org/officeDocument/2006/relationships/hyperlink" Target="https://www.fullmarksstore.jp/item/1000344000.html" TargetMode="External"/><Relationship Id="rId700" Type="http://schemas.openxmlformats.org/officeDocument/2006/relationships/hyperlink" Target="https://www.fullmarksstore.jp/item/1000344200.html" TargetMode="External"/><Relationship Id="rId701" Type="http://schemas.openxmlformats.org/officeDocument/2006/relationships/hyperlink" Target="https://www.fullmarksstore.jp/item/1000350610.html" TargetMode="External"/><Relationship Id="rId702" Type="http://schemas.openxmlformats.org/officeDocument/2006/relationships/hyperlink" Target="https://www.fullmarksstore.jp/item/1000350910.html" TargetMode="External"/><Relationship Id="rId703" Type="http://schemas.openxmlformats.org/officeDocument/2006/relationships/hyperlink" Target="https://www.fullmarksstore.jp/item/1000351110.html" TargetMode="External"/><Relationship Id="rId704" Type="http://schemas.openxmlformats.org/officeDocument/2006/relationships/hyperlink" Target="https://www.fullmarksstore.jp/item/1000351610.html" TargetMode="External"/><Relationship Id="rId705" Type="http://schemas.openxmlformats.org/officeDocument/2006/relationships/hyperlink" Target="https://www.fullmarksstore.jp/item/1000352010.html" TargetMode="External"/><Relationship Id="rId706" Type="http://schemas.openxmlformats.org/officeDocument/2006/relationships/hyperlink" Target="https://www.fullmarksstore.jp/item/1000364210.html" TargetMode="External"/><Relationship Id="rId707" Type="http://schemas.openxmlformats.org/officeDocument/2006/relationships/hyperlink" Target="https://www.fullmarksstore.jp/item/1000369210.html" TargetMode="External"/><Relationship Id="rId708" Type="http://schemas.openxmlformats.org/officeDocument/2006/relationships/hyperlink" Target="https://www.fullmarksstore.jp/item/1000371700.html" TargetMode="External"/><Relationship Id="rId709" Type="http://schemas.openxmlformats.org/officeDocument/2006/relationships/hyperlink" Target="https://www.fullmarksstore.jp/item/1000372900.html" TargetMode="External"/><Relationship Id="rId710" Type="http://schemas.openxmlformats.org/officeDocument/2006/relationships/hyperlink" Target="https://www.fullmarksstore.jp/item/1060009510.html" TargetMode="External"/><Relationship Id="rId711" Type="http://schemas.openxmlformats.org/officeDocument/2006/relationships/hyperlink" Target="https://www.fullmarksstore.jp/item/1060009810.html" TargetMode="External"/><Relationship Id="rId712" Type="http://schemas.openxmlformats.org/officeDocument/2006/relationships/hyperlink" Target="https://www.fullmarksstore.jp/item/1060010610.html" TargetMode="External"/><Relationship Id="rId713" Type="http://schemas.openxmlformats.org/officeDocument/2006/relationships/hyperlink" Target="https://www.fullmarksstore.jp/item/1060017410.html" TargetMode="External"/><Relationship Id="rId714" Type="http://schemas.openxmlformats.org/officeDocument/2006/relationships/hyperlink" Target="https://www.fullmarksstore.jp/item/1060026600.html" TargetMode="External"/><Relationship Id="rId715" Type="http://schemas.openxmlformats.org/officeDocument/2006/relationships/hyperlink" Target="https://www.fullmarksstore.jp/item/1060026700.html" TargetMode="External"/><Relationship Id="rId716" Type="http://schemas.openxmlformats.org/officeDocument/2006/relationships/hyperlink" Target="https://www.fullmarksstore.jp/item/1000605910.html" TargetMode="External"/><Relationship Id="rId717" Type="http://schemas.openxmlformats.org/officeDocument/2006/relationships/hyperlink" Target="https://www.fullmarksstore.jp/item/1000636600.html" TargetMode="External"/><Relationship Id="rId718" Type="http://schemas.openxmlformats.org/officeDocument/2006/relationships/hyperlink" Target="https://www.fullmarksstore.jp/item/1000636610.html" TargetMode="External"/><Relationship Id="rId719" Type="http://schemas.openxmlformats.org/officeDocument/2006/relationships/hyperlink" Target="https://www.fullmarksstore.jp/item/1000639210.html" TargetMode="External"/><Relationship Id="rId720" Type="http://schemas.openxmlformats.org/officeDocument/2006/relationships/hyperlink" Target="https://www.fullmarksstore.jp/item/1000917000.html" TargetMode="External"/><Relationship Id="rId721" Type="http://schemas.openxmlformats.org/officeDocument/2006/relationships/hyperlink" Target="https://www.fullmarksstore.jp/item/1000918420.html" TargetMode="External"/><Relationship Id="rId722" Type="http://schemas.openxmlformats.org/officeDocument/2006/relationships/hyperlink" Target="https://www.fullmarksstore.jp/item/1000918710.html" TargetMode="External"/><Relationship Id="rId723" Type="http://schemas.openxmlformats.org/officeDocument/2006/relationships/hyperlink" Target="https://www.fullmarksstore.jp/item/1000918810.html" TargetMode="External"/><Relationship Id="rId72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3"/>
    <col collapsed="false" customWidth="true" hidden="false" outlineLevel="0" max="5" min="5" style="0" width="14"/>
    <col collapsed="false" customWidth="true" hidden="false" outlineLevel="0" max="7" min="6" style="0" width="13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5" t="s">
        <v>5</v>
      </c>
    </row>
    <row r="8" customFormat="false" ht="15" hidden="false" customHeight="false" outlineLevel="0" collapsed="false">
      <c r="A8" s="4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6" t="s">
        <v>7</v>
      </c>
      <c r="B10" s="6" t="s">
        <v>8</v>
      </c>
      <c r="C10" s="6" t="s">
        <v>9</v>
      </c>
      <c r="D10" s="6" t="s">
        <v>10</v>
      </c>
      <c r="E10" s="6" t="s">
        <v>11</v>
      </c>
      <c r="F10" s="6" t="s">
        <v>12</v>
      </c>
      <c r="G10" s="6" t="s">
        <v>13</v>
      </c>
    </row>
    <row r="11" customFormat="false" ht="15" hidden="false" customHeight="false" outlineLevel="0" collapsed="false">
      <c r="A11" s="7" t="s">
        <v>14</v>
      </c>
      <c r="B11" s="8" t="n">
        <f aca="false">C11+G11-2</f>
        <v>155</v>
      </c>
      <c r="C11" s="9" t="n">
        <f aca="false">D11+E11+F11</f>
        <v>93</v>
      </c>
      <c r="D11" s="8" t="n">
        <f aca="false">COUNTIFS(商品一覧!$A$2:$A$724,$A11,商品一覧!$B$2:$B$724,"新作")</f>
        <v>34</v>
      </c>
      <c r="E11" s="8" t="n">
        <f aca="false">COUNTIFS(商品一覧!$A$2:$A$724,$A11,商品一覧!$B$2:$B$724,"定番の冬物")</f>
        <v>59</v>
      </c>
      <c r="F11" s="8" t="n">
        <f aca="false">COUNTIFS(商品一覧!$A$2:$A$724,$A11,商品一覧!$B$2:$B$724,"夏物を外しただけ")</f>
        <v>0</v>
      </c>
      <c r="G11" s="8" t="n">
        <f aca="false">COUNTIFS(商品一覧!$A$2:$A$724,$A11,商品一覧!$B$2:$B$724,"出なくなる")</f>
        <v>64</v>
      </c>
    </row>
    <row r="12" customFormat="false" ht="15" hidden="false" customHeight="false" outlineLevel="0" collapsed="false">
      <c r="A12" s="7" t="s">
        <v>15</v>
      </c>
      <c r="B12" s="8" t="n">
        <f aca="false">C12+G12-0</f>
        <v>144</v>
      </c>
      <c r="C12" s="9" t="n">
        <f aca="false">D12+E12+F12</f>
        <v>80</v>
      </c>
      <c r="D12" s="8" t="n">
        <f aca="false">COUNTIFS(商品一覧!$A$2:$A$724,$A12,商品一覧!$B$2:$B$724,"新作")</f>
        <v>18</v>
      </c>
      <c r="E12" s="8" t="n">
        <f aca="false">COUNTIFS(商品一覧!$A$2:$A$724,$A12,商品一覧!$B$2:$B$724,"定番の冬物")</f>
        <v>62</v>
      </c>
      <c r="F12" s="8" t="n">
        <f aca="false">COUNTIFS(商品一覧!$A$2:$A$724,$A12,商品一覧!$B$2:$B$724,"夏物を外しただけ")</f>
        <v>0</v>
      </c>
      <c r="G12" s="8" t="n">
        <f aca="false">COUNTIFS(商品一覧!$A$2:$A$724,$A12,商品一覧!$B$2:$B$724,"出なくなる")</f>
        <v>64</v>
      </c>
    </row>
    <row r="13" customFormat="false" ht="15" hidden="false" customHeight="false" outlineLevel="0" collapsed="false">
      <c r="A13" s="7" t="s">
        <v>16</v>
      </c>
      <c r="B13" s="8" t="n">
        <f aca="false">C13+G13-4</f>
        <v>154</v>
      </c>
      <c r="C13" s="9" t="n">
        <f aca="false">D13+E13+F13</f>
        <v>64</v>
      </c>
      <c r="D13" s="8" t="n">
        <f aca="false">COUNTIFS(商品一覧!$A$2:$A$724,$A13,商品一覧!$B$2:$B$724,"新作")</f>
        <v>64</v>
      </c>
      <c r="E13" s="8" t="n">
        <f aca="false">COUNTIFS(商品一覧!$A$2:$A$724,$A13,商品一覧!$B$2:$B$724,"定番の冬物")</f>
        <v>0</v>
      </c>
      <c r="F13" s="8" t="n">
        <f aca="false">COUNTIFS(商品一覧!$A$2:$A$724,$A13,商品一覧!$B$2:$B$724,"夏物を外しただけ")</f>
        <v>0</v>
      </c>
      <c r="G13" s="8" t="n">
        <f aca="false">COUNTIFS(商品一覧!$A$2:$A$724,$A13,商品一覧!$B$2:$B$724,"出なくなる")</f>
        <v>94</v>
      </c>
    </row>
    <row r="14" customFormat="false" ht="15" hidden="false" customHeight="false" outlineLevel="0" collapsed="false">
      <c r="A14" s="7" t="s">
        <v>17</v>
      </c>
      <c r="B14" s="8" t="n">
        <v>0</v>
      </c>
      <c r="C14" s="9" t="n">
        <f aca="false">D14+E14+F14</f>
        <v>19</v>
      </c>
      <c r="D14" s="8" t="n">
        <f aca="false">COUNTIFS(商品一覧!$A$2:$A$724,$A14,商品一覧!$B$2:$B$724,"新作")</f>
        <v>19</v>
      </c>
      <c r="E14" s="8" t="n">
        <f aca="false">COUNTIFS(商品一覧!$A$2:$A$724,$A14,商品一覧!$B$2:$B$724,"定番の冬物")</f>
        <v>0</v>
      </c>
      <c r="F14" s="8" t="n">
        <f aca="false">COUNTIFS(商品一覧!$A$2:$A$724,$A14,商品一覧!$B$2:$B$724,"夏物を外しただけ")</f>
        <v>0</v>
      </c>
      <c r="G14" s="8" t="n">
        <f aca="false">COUNTIFS(商品一覧!$A$2:$A$724,$A14,商品一覧!$B$2:$B$724,"出なくなる")</f>
        <v>0</v>
      </c>
    </row>
    <row r="15" customFormat="false" ht="15" hidden="false" customHeight="false" outlineLevel="0" collapsed="false">
      <c r="A15" s="7" t="s">
        <v>18</v>
      </c>
      <c r="B15" s="8" t="n">
        <f aca="false">C15+G15-2</f>
        <v>46</v>
      </c>
      <c r="C15" s="9" t="n">
        <f aca="false">D15+E15+F15</f>
        <v>40</v>
      </c>
      <c r="D15" s="8" t="n">
        <f aca="false">COUNTIFS(商品一覧!$A$2:$A$724,$A15,商品一覧!$B$2:$B$724,"新作")</f>
        <v>0</v>
      </c>
      <c r="E15" s="8" t="n">
        <f aca="false">COUNTIFS(商品一覧!$A$2:$A$724,$A15,商品一覧!$B$2:$B$724,"定番の冬物")</f>
        <v>0</v>
      </c>
      <c r="F15" s="8" t="n">
        <f aca="false">COUNTIFS(商品一覧!$A$2:$A$724,$A15,商品一覧!$B$2:$B$724,"夏物を外しただけ")</f>
        <v>40</v>
      </c>
      <c r="G15" s="8" t="n">
        <f aca="false">COUNTIFS(商品一覧!$A$2:$A$724,$A15,商品一覧!$B$2:$B$724,"出なくなる")</f>
        <v>8</v>
      </c>
    </row>
    <row r="16" customFormat="false" ht="15" hidden="false" customHeight="false" outlineLevel="0" collapsed="false">
      <c r="A16" s="7" t="s">
        <v>19</v>
      </c>
      <c r="B16" s="8" t="n">
        <f aca="false">C16+G16-2</f>
        <v>35</v>
      </c>
      <c r="C16" s="9" t="n">
        <f aca="false">D16+E16+F16</f>
        <v>31</v>
      </c>
      <c r="D16" s="8" t="n">
        <f aca="false">COUNTIFS(商品一覧!$A$2:$A$724,$A16,商品一覧!$B$2:$B$724,"新作")</f>
        <v>0</v>
      </c>
      <c r="E16" s="8" t="n">
        <f aca="false">COUNTIFS(商品一覧!$A$2:$A$724,$A16,商品一覧!$B$2:$B$724,"定番の冬物")</f>
        <v>0</v>
      </c>
      <c r="F16" s="8" t="n">
        <f aca="false">COUNTIFS(商品一覧!$A$2:$A$724,$A16,商品一覧!$B$2:$B$724,"夏物を外しただけ")</f>
        <v>31</v>
      </c>
      <c r="G16" s="8" t="n">
        <f aca="false">COUNTIFS(商品一覧!$A$2:$A$724,$A16,商品一覧!$B$2:$B$724,"出なくなる")</f>
        <v>6</v>
      </c>
    </row>
    <row r="17" customFormat="false" ht="15" hidden="false" customHeight="false" outlineLevel="0" collapsed="false">
      <c r="A17" s="7" t="s">
        <v>20</v>
      </c>
      <c r="B17" s="8" t="n">
        <f aca="false">C17+G17-1</f>
        <v>21</v>
      </c>
      <c r="C17" s="9" t="n">
        <f aca="false">D17+E17+F17</f>
        <v>22</v>
      </c>
      <c r="D17" s="8" t="n">
        <f aca="false">COUNTIFS(商品一覧!$A$2:$A$724,$A17,商品一覧!$B$2:$B$724,"新作")</f>
        <v>0</v>
      </c>
      <c r="E17" s="8" t="n">
        <f aca="false">COUNTIFS(商品一覧!$A$2:$A$724,$A17,商品一覧!$B$2:$B$724,"定番の冬物")</f>
        <v>0</v>
      </c>
      <c r="F17" s="8" t="n">
        <f aca="false">COUNTIFS(商品一覧!$A$2:$A$724,$A17,商品一覧!$B$2:$B$724,"夏物を外しただけ")</f>
        <v>22</v>
      </c>
      <c r="G17" s="8" t="n">
        <f aca="false">COUNTIFS(商品一覧!$A$2:$A$724,$A17,商品一覧!$B$2:$B$724,"出なくなる")</f>
        <v>0</v>
      </c>
    </row>
    <row r="18" customFormat="false" ht="15" hidden="false" customHeight="false" outlineLevel="0" collapsed="false">
      <c r="A18" s="7" t="s">
        <v>21</v>
      </c>
      <c r="B18" s="8" t="n">
        <f aca="false">C18+G18-2</f>
        <v>17</v>
      </c>
      <c r="C18" s="9" t="n">
        <f aca="false">D18+E18+F18</f>
        <v>19</v>
      </c>
      <c r="D18" s="8" t="n">
        <f aca="false">COUNTIFS(商品一覧!$A$2:$A$724,$A18,商品一覧!$B$2:$B$724,"新作")</f>
        <v>0</v>
      </c>
      <c r="E18" s="8" t="n">
        <f aca="false">COUNTIFS(商品一覧!$A$2:$A$724,$A18,商品一覧!$B$2:$B$724,"定番の冬物")</f>
        <v>0</v>
      </c>
      <c r="F18" s="8" t="n">
        <f aca="false">COUNTIFS(商品一覧!$A$2:$A$724,$A18,商品一覧!$B$2:$B$724,"夏物を外しただけ")</f>
        <v>19</v>
      </c>
      <c r="G18" s="8" t="n">
        <f aca="false">COUNTIFS(商品一覧!$A$2:$A$724,$A18,商品一覧!$B$2:$B$724,"出なくなる")</f>
        <v>0</v>
      </c>
    </row>
    <row r="19" customFormat="false" ht="15" hidden="false" customHeight="false" outlineLevel="0" collapsed="false">
      <c r="A19" s="7" t="s">
        <v>22</v>
      </c>
      <c r="B19" s="8" t="n">
        <f aca="false">C19+G19-0</f>
        <v>119</v>
      </c>
      <c r="C19" s="9" t="n">
        <f aca="false">D19+E19+F19</f>
        <v>119</v>
      </c>
      <c r="D19" s="8" t="n">
        <f aca="false">COUNTIFS(商品一覧!$A$2:$A$724,$A19,商品一覧!$B$2:$B$724,"新作")</f>
        <v>0</v>
      </c>
      <c r="E19" s="8" t="n">
        <f aca="false">COUNTIFS(商品一覧!$A$2:$A$724,$A19,商品一覧!$B$2:$B$724,"定番の冬物")</f>
        <v>0</v>
      </c>
      <c r="F19" s="8" t="n">
        <f aca="false">COUNTIFS(商品一覧!$A$2:$A$724,$A19,商品一覧!$B$2:$B$724,"夏物を外しただけ")</f>
        <v>119</v>
      </c>
      <c r="G19" s="8" t="n">
        <f aca="false">COUNTIFS(商品一覧!$A$2:$A$724,$A19,商品一覧!$B$2:$B$724,"出なくなる")</f>
        <v>0</v>
      </c>
    </row>
    <row r="20" customFormat="false" ht="15" hidden="false" customHeight="false" outlineLevel="0" collapsed="false">
      <c r="A20" s="10" t="s">
        <v>23</v>
      </c>
      <c r="B20" s="11" t="n">
        <f aca="false">SUM(B11:B19)</f>
        <v>691</v>
      </c>
      <c r="C20" s="11" t="n">
        <f aca="false">SUM(C11:C19)</f>
        <v>487</v>
      </c>
      <c r="D20" s="11" t="n">
        <f aca="false">SUM(D11:D19)</f>
        <v>135</v>
      </c>
      <c r="E20" s="11" t="n">
        <f aca="false">SUM(E11:E19)</f>
        <v>121</v>
      </c>
      <c r="F20" s="11" t="n">
        <f aca="false">SUM(F11:F19)</f>
        <v>231</v>
      </c>
      <c r="G20" s="11" t="n">
        <f aca="false">SUM(G11:G19)</f>
        <v>236</v>
      </c>
    </row>
    <row r="21" customFormat="false" ht="15" hidden="false" customHeight="false" outlineLevel="0" collapsed="false">
      <c r="A21" s="12" t="s">
        <v>24</v>
      </c>
    </row>
    <row r="22" customFormat="false" ht="15" hidden="false" customHeight="false" outlineLevel="0" collapsed="false">
      <c r="A22" s="12" t="s">
        <v>25</v>
      </c>
    </row>
    <row r="23" customFormat="false" ht="15" hidden="false" customHeight="false" outlineLevel="0" collapsed="false">
      <c r="A23" s="13" t="s">
        <v>26</v>
      </c>
    </row>
    <row r="24" customFormat="false" ht="15" hidden="false" customHeight="false" outlineLevel="0" collapsed="false">
      <c r="A24" s="13" t="s">
        <v>27</v>
      </c>
    </row>
    <row r="26" customFormat="false" ht="15" hidden="false" customHeight="false" outlineLevel="0" collapsed="false">
      <c r="A26" s="3" t="s">
        <v>28</v>
      </c>
    </row>
    <row r="27" customFormat="false" ht="15" hidden="false" customHeight="false" outlineLevel="0" collapsed="false">
      <c r="A27" s="5" t="s">
        <v>29</v>
      </c>
    </row>
    <row r="28" customFormat="false" ht="15" hidden="false" customHeight="false" outlineLevel="0" collapsed="false">
      <c r="A28" s="5" t="s">
        <v>30</v>
      </c>
    </row>
    <row r="29" customFormat="false" ht="15" hidden="false" customHeight="false" outlineLevel="0" collapsed="false">
      <c r="A29" s="5" t="s">
        <v>31</v>
      </c>
    </row>
    <row r="30" customFormat="false" ht="15" hidden="false" customHeight="false" outlineLevel="0" collapsed="false">
      <c r="A30" s="5" t="s">
        <v>32</v>
      </c>
    </row>
    <row r="32" customFormat="false" ht="15" hidden="false" customHeight="false" outlineLevel="0" collapsed="false">
      <c r="A32" s="3" t="s">
        <v>33</v>
      </c>
    </row>
    <row r="33" customFormat="false" ht="15" hidden="false" customHeight="false" outlineLevel="0" collapsed="false">
      <c r="A33" s="5" t="s">
        <v>34</v>
      </c>
    </row>
    <row r="34" customFormat="false" ht="15" hidden="false" customHeight="false" outlineLevel="0" collapsed="false">
      <c r="A34" s="5" t="s">
        <v>35</v>
      </c>
    </row>
    <row r="35" customFormat="false" ht="15" hidden="false" customHeight="false" outlineLevel="0" collapsed="false">
      <c r="A35" s="5" t="s">
        <v>36</v>
      </c>
    </row>
    <row r="37" customFormat="false" ht="15" hidden="false" customHeight="false" outlineLevel="0" collapsed="false">
      <c r="A37" s="3" t="s">
        <v>37</v>
      </c>
    </row>
    <row r="38" customFormat="false" ht="15" hidden="false" customHeight="false" outlineLevel="0" collapsed="false">
      <c r="A38" s="5" t="s">
        <v>38</v>
      </c>
    </row>
    <row r="40" customFormat="false" ht="15" hidden="false" customHeight="false" outlineLevel="0" collapsed="false">
      <c r="A40" s="3" t="s">
        <v>39</v>
      </c>
    </row>
    <row r="41" customFormat="false" ht="15" hidden="false" customHeight="false" outlineLevel="0" collapsed="false">
      <c r="A41" s="5" t="s">
        <v>40</v>
      </c>
    </row>
    <row r="43" customFormat="false" ht="15" hidden="false" customHeight="false" outlineLevel="0" collapsed="false">
      <c r="A43" s="3" t="s">
        <v>41</v>
      </c>
    </row>
    <row r="44" customFormat="false" ht="15" hidden="false" customHeight="false" outlineLevel="0" collapsed="false">
      <c r="A44" s="5" t="s">
        <v>42</v>
      </c>
    </row>
    <row r="45" customFormat="false" ht="15" hidden="false" customHeight="false" outlineLevel="0" collapsed="false">
      <c r="A45" s="5" t="s">
        <v>43</v>
      </c>
    </row>
    <row r="46" customFormat="false" ht="15" hidden="false" customHeight="false" outlineLevel="0" collapsed="false">
      <c r="A46" s="5" t="s">
        <v>44</v>
      </c>
    </row>
    <row r="48" customFormat="false" ht="15" hidden="false" customHeight="false" outlineLevel="0" collapsed="false">
      <c r="A48" s="1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4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4" t="s">
        <v>7</v>
      </c>
      <c r="B1" s="14" t="s">
        <v>46</v>
      </c>
      <c r="C1" s="14" t="s">
        <v>9</v>
      </c>
      <c r="D1" s="14" t="s">
        <v>47</v>
      </c>
      <c r="E1" s="14" t="s">
        <v>48</v>
      </c>
      <c r="F1" s="14" t="s">
        <v>49</v>
      </c>
      <c r="G1" s="14" t="s">
        <v>50</v>
      </c>
      <c r="H1" s="14" t="s">
        <v>51</v>
      </c>
      <c r="I1" s="14" t="s">
        <v>52</v>
      </c>
    </row>
    <row r="2" customFormat="false" ht="15" hidden="false" customHeight="false" outlineLevel="0" collapsed="false">
      <c r="A2" s="4" t="s">
        <v>14</v>
      </c>
      <c r="B2" s="5" t="s">
        <v>53</v>
      </c>
      <c r="C2" s="5" t="s">
        <v>54</v>
      </c>
      <c r="D2" s="4" t="s">
        <v>55</v>
      </c>
      <c r="E2" s="15" t="n">
        <v>49500</v>
      </c>
      <c r="F2" s="4" t="s">
        <v>56</v>
      </c>
      <c r="G2" s="16" t="s">
        <v>57</v>
      </c>
      <c r="H2" s="17"/>
      <c r="I2" s="17"/>
    </row>
    <row r="3" customFormat="false" ht="15" hidden="false" customHeight="false" outlineLevel="0" collapsed="false">
      <c r="A3" s="4" t="s">
        <v>14</v>
      </c>
      <c r="B3" s="5" t="s">
        <v>53</v>
      </c>
      <c r="C3" s="5" t="s">
        <v>54</v>
      </c>
      <c r="D3" s="4" t="s">
        <v>58</v>
      </c>
      <c r="E3" s="15" t="n">
        <v>39600</v>
      </c>
      <c r="F3" s="4" t="s">
        <v>59</v>
      </c>
      <c r="G3" s="16" t="s">
        <v>57</v>
      </c>
      <c r="H3" s="17"/>
      <c r="I3" s="17"/>
    </row>
    <row r="4" customFormat="false" ht="15" hidden="false" customHeight="false" outlineLevel="0" collapsed="false">
      <c r="A4" s="4" t="s">
        <v>14</v>
      </c>
      <c r="B4" s="5" t="s">
        <v>53</v>
      </c>
      <c r="C4" s="5" t="s">
        <v>54</v>
      </c>
      <c r="D4" s="4" t="s">
        <v>60</v>
      </c>
      <c r="E4" s="15" t="n">
        <v>36300</v>
      </c>
      <c r="F4" s="4" t="s">
        <v>61</v>
      </c>
      <c r="G4" s="16" t="s">
        <v>57</v>
      </c>
      <c r="H4" s="17"/>
      <c r="I4" s="17"/>
    </row>
    <row r="5" customFormat="false" ht="15" hidden="false" customHeight="false" outlineLevel="0" collapsed="false">
      <c r="A5" s="4" t="s">
        <v>14</v>
      </c>
      <c r="B5" s="5" t="s">
        <v>53</v>
      </c>
      <c r="C5" s="5" t="s">
        <v>54</v>
      </c>
      <c r="D5" s="4" t="s">
        <v>62</v>
      </c>
      <c r="E5" s="15" t="n">
        <v>28600</v>
      </c>
      <c r="F5" s="4" t="s">
        <v>63</v>
      </c>
      <c r="G5" s="16" t="s">
        <v>57</v>
      </c>
      <c r="H5" s="17"/>
      <c r="I5" s="17"/>
    </row>
    <row r="6" customFormat="false" ht="15" hidden="false" customHeight="false" outlineLevel="0" collapsed="false">
      <c r="A6" s="4" t="s">
        <v>14</v>
      </c>
      <c r="B6" s="5" t="s">
        <v>53</v>
      </c>
      <c r="C6" s="5" t="s">
        <v>54</v>
      </c>
      <c r="D6" s="4" t="s">
        <v>64</v>
      </c>
      <c r="E6" s="15" t="n">
        <v>20900</v>
      </c>
      <c r="F6" s="4" t="s">
        <v>65</v>
      </c>
      <c r="G6" s="16" t="s">
        <v>57</v>
      </c>
      <c r="H6" s="17"/>
      <c r="I6" s="17"/>
    </row>
    <row r="7" customFormat="false" ht="15" hidden="false" customHeight="false" outlineLevel="0" collapsed="false">
      <c r="A7" s="4" t="s">
        <v>14</v>
      </c>
      <c r="B7" s="5" t="s">
        <v>53</v>
      </c>
      <c r="C7" s="5" t="s">
        <v>54</v>
      </c>
      <c r="D7" s="4" t="s">
        <v>66</v>
      </c>
      <c r="E7" s="15" t="n">
        <v>25300</v>
      </c>
      <c r="F7" s="4" t="s">
        <v>67</v>
      </c>
      <c r="G7" s="16" t="s">
        <v>57</v>
      </c>
      <c r="H7" s="17"/>
      <c r="I7" s="17"/>
    </row>
    <row r="8" customFormat="false" ht="15" hidden="false" customHeight="false" outlineLevel="0" collapsed="false">
      <c r="A8" s="4" t="s">
        <v>14</v>
      </c>
      <c r="B8" s="5" t="s">
        <v>53</v>
      </c>
      <c r="C8" s="5" t="s">
        <v>54</v>
      </c>
      <c r="D8" s="4" t="s">
        <v>68</v>
      </c>
      <c r="E8" s="15" t="n">
        <v>22000</v>
      </c>
      <c r="F8" s="4" t="s">
        <v>69</v>
      </c>
      <c r="G8" s="16" t="s">
        <v>57</v>
      </c>
      <c r="H8" s="17"/>
      <c r="I8" s="17"/>
    </row>
    <row r="9" customFormat="false" ht="15" hidden="false" customHeight="false" outlineLevel="0" collapsed="false">
      <c r="A9" s="4" t="s">
        <v>14</v>
      </c>
      <c r="B9" s="5" t="s">
        <v>53</v>
      </c>
      <c r="C9" s="5" t="s">
        <v>54</v>
      </c>
      <c r="D9" s="4" t="s">
        <v>70</v>
      </c>
      <c r="E9" s="15" t="n">
        <v>40700</v>
      </c>
      <c r="F9" s="4" t="s">
        <v>71</v>
      </c>
      <c r="G9" s="16" t="s">
        <v>57</v>
      </c>
      <c r="H9" s="17"/>
      <c r="I9" s="17"/>
    </row>
    <row r="10" customFormat="false" ht="15" hidden="false" customHeight="false" outlineLevel="0" collapsed="false">
      <c r="A10" s="4" t="s">
        <v>14</v>
      </c>
      <c r="B10" s="5" t="s">
        <v>53</v>
      </c>
      <c r="C10" s="5" t="s">
        <v>54</v>
      </c>
      <c r="D10" s="4" t="s">
        <v>72</v>
      </c>
      <c r="E10" s="15" t="n">
        <v>24200</v>
      </c>
      <c r="F10" s="4" t="s">
        <v>73</v>
      </c>
      <c r="G10" s="16" t="s">
        <v>57</v>
      </c>
      <c r="H10" s="17"/>
      <c r="I10" s="17"/>
    </row>
    <row r="11" customFormat="false" ht="15" hidden="false" customHeight="false" outlineLevel="0" collapsed="false">
      <c r="A11" s="4" t="s">
        <v>14</v>
      </c>
      <c r="B11" s="5" t="s">
        <v>53</v>
      </c>
      <c r="C11" s="5" t="s">
        <v>54</v>
      </c>
      <c r="D11" s="4" t="s">
        <v>74</v>
      </c>
      <c r="E11" s="15" t="n">
        <v>44000</v>
      </c>
      <c r="F11" s="4" t="s">
        <v>75</v>
      </c>
      <c r="G11" s="16" t="s">
        <v>57</v>
      </c>
      <c r="H11" s="17"/>
      <c r="I11" s="17"/>
    </row>
    <row r="12" customFormat="false" ht="15" hidden="false" customHeight="false" outlineLevel="0" collapsed="false">
      <c r="A12" s="4" t="s">
        <v>14</v>
      </c>
      <c r="B12" s="5" t="s">
        <v>53</v>
      </c>
      <c r="C12" s="5" t="s">
        <v>54</v>
      </c>
      <c r="D12" s="4" t="s">
        <v>76</v>
      </c>
      <c r="E12" s="15" t="n">
        <v>37400</v>
      </c>
      <c r="F12" s="4" t="s">
        <v>77</v>
      </c>
      <c r="G12" s="16" t="s">
        <v>57</v>
      </c>
      <c r="H12" s="17"/>
      <c r="I12" s="17"/>
    </row>
    <row r="13" customFormat="false" ht="15" hidden="false" customHeight="false" outlineLevel="0" collapsed="false">
      <c r="A13" s="4" t="s">
        <v>14</v>
      </c>
      <c r="B13" s="5" t="s">
        <v>53</v>
      </c>
      <c r="C13" s="5" t="s">
        <v>54</v>
      </c>
      <c r="D13" s="4" t="s">
        <v>78</v>
      </c>
      <c r="E13" s="15" t="n">
        <v>16500</v>
      </c>
      <c r="F13" s="4" t="s">
        <v>79</v>
      </c>
      <c r="G13" s="16" t="s">
        <v>57</v>
      </c>
      <c r="H13" s="17"/>
      <c r="I13" s="17"/>
    </row>
    <row r="14" customFormat="false" ht="15" hidden="false" customHeight="false" outlineLevel="0" collapsed="false">
      <c r="A14" s="4" t="s">
        <v>14</v>
      </c>
      <c r="B14" s="5" t="s">
        <v>53</v>
      </c>
      <c r="C14" s="5" t="s">
        <v>54</v>
      </c>
      <c r="D14" s="4" t="s">
        <v>80</v>
      </c>
      <c r="E14" s="15" t="n">
        <v>17600</v>
      </c>
      <c r="F14" s="4" t="s">
        <v>81</v>
      </c>
      <c r="G14" s="16" t="s">
        <v>57</v>
      </c>
      <c r="H14" s="17"/>
      <c r="I14" s="17"/>
    </row>
    <row r="15" customFormat="false" ht="15" hidden="false" customHeight="false" outlineLevel="0" collapsed="false">
      <c r="A15" s="4" t="s">
        <v>14</v>
      </c>
      <c r="B15" s="5" t="s">
        <v>53</v>
      </c>
      <c r="C15" s="5" t="s">
        <v>54</v>
      </c>
      <c r="D15" s="4" t="s">
        <v>82</v>
      </c>
      <c r="E15" s="15" t="n">
        <v>14300</v>
      </c>
      <c r="F15" s="4" t="s">
        <v>83</v>
      </c>
      <c r="G15" s="16" t="s">
        <v>57</v>
      </c>
      <c r="H15" s="17"/>
      <c r="I15" s="17"/>
    </row>
    <row r="16" customFormat="false" ht="15" hidden="false" customHeight="false" outlineLevel="0" collapsed="false">
      <c r="A16" s="4" t="s">
        <v>14</v>
      </c>
      <c r="B16" s="5" t="s">
        <v>53</v>
      </c>
      <c r="C16" s="5" t="s">
        <v>54</v>
      </c>
      <c r="D16" s="4" t="s">
        <v>84</v>
      </c>
      <c r="E16" s="15" t="n">
        <v>104500</v>
      </c>
      <c r="F16" s="4" t="s">
        <v>85</v>
      </c>
      <c r="G16" s="16" t="s">
        <v>57</v>
      </c>
      <c r="H16" s="17"/>
      <c r="I16" s="17"/>
    </row>
    <row r="17" customFormat="false" ht="15" hidden="false" customHeight="false" outlineLevel="0" collapsed="false">
      <c r="A17" s="4" t="s">
        <v>14</v>
      </c>
      <c r="B17" s="5" t="s">
        <v>53</v>
      </c>
      <c r="C17" s="5" t="s">
        <v>54</v>
      </c>
      <c r="D17" s="4" t="s">
        <v>86</v>
      </c>
      <c r="E17" s="15" t="n">
        <v>93500</v>
      </c>
      <c r="F17" s="4" t="s">
        <v>87</v>
      </c>
      <c r="G17" s="16" t="s">
        <v>57</v>
      </c>
      <c r="H17" s="17"/>
      <c r="I17" s="17"/>
    </row>
    <row r="18" customFormat="false" ht="15" hidden="false" customHeight="false" outlineLevel="0" collapsed="false">
      <c r="A18" s="4" t="s">
        <v>14</v>
      </c>
      <c r="B18" s="5" t="s">
        <v>53</v>
      </c>
      <c r="C18" s="5" t="s">
        <v>54</v>
      </c>
      <c r="D18" s="4" t="s">
        <v>88</v>
      </c>
      <c r="E18" s="15" t="n">
        <v>110000</v>
      </c>
      <c r="F18" s="4" t="s">
        <v>89</v>
      </c>
      <c r="G18" s="16" t="s">
        <v>57</v>
      </c>
      <c r="H18" s="17"/>
      <c r="I18" s="17"/>
    </row>
    <row r="19" customFormat="false" ht="15" hidden="false" customHeight="false" outlineLevel="0" collapsed="false">
      <c r="A19" s="4" t="s">
        <v>14</v>
      </c>
      <c r="B19" s="5" t="s">
        <v>53</v>
      </c>
      <c r="C19" s="5" t="s">
        <v>54</v>
      </c>
      <c r="D19" s="4" t="s">
        <v>90</v>
      </c>
      <c r="E19" s="15" t="n">
        <v>121000</v>
      </c>
      <c r="F19" s="4" t="s">
        <v>91</v>
      </c>
      <c r="G19" s="16" t="s">
        <v>57</v>
      </c>
      <c r="H19" s="17"/>
      <c r="I19" s="17"/>
    </row>
    <row r="20" customFormat="false" ht="15" hidden="false" customHeight="false" outlineLevel="0" collapsed="false">
      <c r="A20" s="4" t="s">
        <v>14</v>
      </c>
      <c r="B20" s="5" t="s">
        <v>53</v>
      </c>
      <c r="C20" s="5" t="s">
        <v>54</v>
      </c>
      <c r="D20" s="4" t="s">
        <v>92</v>
      </c>
      <c r="E20" s="15" t="n">
        <v>39600</v>
      </c>
      <c r="F20" s="4" t="s">
        <v>93</v>
      </c>
      <c r="G20" s="16" t="s">
        <v>57</v>
      </c>
      <c r="H20" s="17"/>
      <c r="I20" s="17"/>
    </row>
    <row r="21" customFormat="false" ht="15" hidden="false" customHeight="false" outlineLevel="0" collapsed="false">
      <c r="A21" s="4" t="s">
        <v>14</v>
      </c>
      <c r="B21" s="5" t="s">
        <v>53</v>
      </c>
      <c r="C21" s="5" t="s">
        <v>54</v>
      </c>
      <c r="D21" s="4" t="s">
        <v>94</v>
      </c>
      <c r="E21" s="15" t="n">
        <v>8800</v>
      </c>
      <c r="F21" s="4" t="s">
        <v>95</v>
      </c>
      <c r="G21" s="16" t="s">
        <v>57</v>
      </c>
      <c r="H21" s="17"/>
      <c r="I21" s="17"/>
    </row>
    <row r="22" customFormat="false" ht="15" hidden="false" customHeight="false" outlineLevel="0" collapsed="false">
      <c r="A22" s="4" t="s">
        <v>14</v>
      </c>
      <c r="B22" s="5" t="s">
        <v>53</v>
      </c>
      <c r="C22" s="5" t="s">
        <v>54</v>
      </c>
      <c r="D22" s="4" t="s">
        <v>96</v>
      </c>
      <c r="E22" s="15" t="n">
        <v>6600</v>
      </c>
      <c r="F22" s="4" t="s">
        <v>97</v>
      </c>
      <c r="G22" s="16" t="s">
        <v>57</v>
      </c>
      <c r="H22" s="17"/>
      <c r="I22" s="17"/>
    </row>
    <row r="23" customFormat="false" ht="15" hidden="false" customHeight="false" outlineLevel="0" collapsed="false">
      <c r="A23" s="4" t="s">
        <v>14</v>
      </c>
      <c r="B23" s="5" t="s">
        <v>53</v>
      </c>
      <c r="C23" s="5" t="s">
        <v>54</v>
      </c>
      <c r="D23" s="4" t="s">
        <v>98</v>
      </c>
      <c r="E23" s="15" t="n">
        <v>28600</v>
      </c>
      <c r="F23" s="4" t="s">
        <v>99</v>
      </c>
      <c r="G23" s="16" t="s">
        <v>57</v>
      </c>
      <c r="H23" s="17"/>
      <c r="I23" s="17"/>
    </row>
    <row r="24" customFormat="false" ht="15" hidden="false" customHeight="false" outlineLevel="0" collapsed="false">
      <c r="A24" s="4" t="s">
        <v>14</v>
      </c>
      <c r="B24" s="5" t="s">
        <v>53</v>
      </c>
      <c r="C24" s="5" t="s">
        <v>54</v>
      </c>
      <c r="D24" s="4" t="s">
        <v>100</v>
      </c>
      <c r="E24" s="15" t="n">
        <v>25300</v>
      </c>
      <c r="F24" s="4" t="s">
        <v>101</v>
      </c>
      <c r="G24" s="16" t="s">
        <v>57</v>
      </c>
      <c r="H24" s="17"/>
      <c r="I24" s="17"/>
    </row>
    <row r="25" customFormat="false" ht="15" hidden="false" customHeight="false" outlineLevel="0" collapsed="false">
      <c r="A25" s="4" t="s">
        <v>14</v>
      </c>
      <c r="B25" s="5" t="s">
        <v>53</v>
      </c>
      <c r="C25" s="5" t="s">
        <v>54</v>
      </c>
      <c r="D25" s="4" t="s">
        <v>102</v>
      </c>
      <c r="E25" s="15" t="n">
        <v>20900</v>
      </c>
      <c r="F25" s="4" t="s">
        <v>103</v>
      </c>
      <c r="G25" s="16" t="s">
        <v>57</v>
      </c>
      <c r="H25" s="17"/>
      <c r="I25" s="17"/>
    </row>
    <row r="26" customFormat="false" ht="15" hidden="false" customHeight="false" outlineLevel="0" collapsed="false">
      <c r="A26" s="4" t="s">
        <v>14</v>
      </c>
      <c r="B26" s="5" t="s">
        <v>53</v>
      </c>
      <c r="C26" s="5" t="s">
        <v>54</v>
      </c>
      <c r="D26" s="4" t="s">
        <v>104</v>
      </c>
      <c r="E26" s="15" t="n">
        <v>25300</v>
      </c>
      <c r="F26" s="4" t="s">
        <v>105</v>
      </c>
      <c r="G26" s="16" t="s">
        <v>57</v>
      </c>
      <c r="H26" s="17"/>
      <c r="I26" s="17"/>
    </row>
    <row r="27" customFormat="false" ht="15" hidden="false" customHeight="false" outlineLevel="0" collapsed="false">
      <c r="A27" s="4" t="s">
        <v>14</v>
      </c>
      <c r="B27" s="5" t="s">
        <v>53</v>
      </c>
      <c r="C27" s="5" t="s">
        <v>54</v>
      </c>
      <c r="D27" s="4" t="s">
        <v>106</v>
      </c>
      <c r="E27" s="15" t="n">
        <v>22000</v>
      </c>
      <c r="F27" s="4" t="s">
        <v>107</v>
      </c>
      <c r="G27" s="16" t="s">
        <v>57</v>
      </c>
      <c r="H27" s="17"/>
      <c r="I27" s="17"/>
    </row>
    <row r="28" customFormat="false" ht="15" hidden="false" customHeight="false" outlineLevel="0" collapsed="false">
      <c r="A28" s="4" t="s">
        <v>14</v>
      </c>
      <c r="B28" s="5" t="s">
        <v>53</v>
      </c>
      <c r="C28" s="5" t="s">
        <v>54</v>
      </c>
      <c r="D28" s="4" t="s">
        <v>108</v>
      </c>
      <c r="E28" s="15" t="n">
        <v>40700</v>
      </c>
      <c r="F28" s="4" t="s">
        <v>109</v>
      </c>
      <c r="G28" s="16" t="s">
        <v>57</v>
      </c>
      <c r="H28" s="17"/>
      <c r="I28" s="17"/>
    </row>
    <row r="29" customFormat="false" ht="15" hidden="false" customHeight="false" outlineLevel="0" collapsed="false">
      <c r="A29" s="4" t="s">
        <v>14</v>
      </c>
      <c r="B29" s="5" t="s">
        <v>53</v>
      </c>
      <c r="C29" s="5" t="s">
        <v>54</v>
      </c>
      <c r="D29" s="4" t="s">
        <v>110</v>
      </c>
      <c r="E29" s="15" t="n">
        <v>44000</v>
      </c>
      <c r="F29" s="4" t="s">
        <v>111</v>
      </c>
      <c r="G29" s="16" t="s">
        <v>57</v>
      </c>
      <c r="H29" s="17"/>
      <c r="I29" s="17"/>
    </row>
    <row r="30" customFormat="false" ht="15" hidden="false" customHeight="false" outlineLevel="0" collapsed="false">
      <c r="A30" s="4" t="s">
        <v>14</v>
      </c>
      <c r="B30" s="5" t="s">
        <v>53</v>
      </c>
      <c r="C30" s="5" t="s">
        <v>54</v>
      </c>
      <c r="D30" s="4" t="s">
        <v>112</v>
      </c>
      <c r="E30" s="15" t="n">
        <v>16500</v>
      </c>
      <c r="F30" s="4" t="s">
        <v>113</v>
      </c>
      <c r="G30" s="16" t="s">
        <v>57</v>
      </c>
      <c r="H30" s="17"/>
      <c r="I30" s="17"/>
    </row>
    <row r="31" customFormat="false" ht="15" hidden="false" customHeight="false" outlineLevel="0" collapsed="false">
      <c r="A31" s="4" t="s">
        <v>14</v>
      </c>
      <c r="B31" s="5" t="s">
        <v>53</v>
      </c>
      <c r="C31" s="5" t="s">
        <v>54</v>
      </c>
      <c r="D31" s="4" t="s">
        <v>114</v>
      </c>
      <c r="E31" s="15" t="n">
        <v>14300</v>
      </c>
      <c r="F31" s="4" t="s">
        <v>115</v>
      </c>
      <c r="G31" s="16" t="s">
        <v>57</v>
      </c>
      <c r="H31" s="17"/>
      <c r="I31" s="17"/>
    </row>
    <row r="32" customFormat="false" ht="15" hidden="false" customHeight="false" outlineLevel="0" collapsed="false">
      <c r="A32" s="4" t="s">
        <v>14</v>
      </c>
      <c r="B32" s="5" t="s">
        <v>53</v>
      </c>
      <c r="C32" s="5" t="s">
        <v>54</v>
      </c>
      <c r="D32" s="4" t="s">
        <v>116</v>
      </c>
      <c r="E32" s="15" t="n">
        <v>104500</v>
      </c>
      <c r="F32" s="4" t="s">
        <v>117</v>
      </c>
      <c r="G32" s="16" t="s">
        <v>57</v>
      </c>
      <c r="H32" s="17"/>
      <c r="I32" s="17"/>
    </row>
    <row r="33" customFormat="false" ht="15" hidden="false" customHeight="false" outlineLevel="0" collapsed="false">
      <c r="A33" s="4" t="s">
        <v>14</v>
      </c>
      <c r="B33" s="5" t="s">
        <v>53</v>
      </c>
      <c r="C33" s="5" t="s">
        <v>54</v>
      </c>
      <c r="D33" s="4" t="s">
        <v>118</v>
      </c>
      <c r="E33" s="15" t="n">
        <v>93500</v>
      </c>
      <c r="F33" s="4" t="s">
        <v>119</v>
      </c>
      <c r="G33" s="16" t="s">
        <v>57</v>
      </c>
      <c r="H33" s="17"/>
      <c r="I33" s="17"/>
    </row>
    <row r="34" customFormat="false" ht="15" hidden="false" customHeight="false" outlineLevel="0" collapsed="false">
      <c r="A34" s="4" t="s">
        <v>14</v>
      </c>
      <c r="B34" s="5" t="s">
        <v>53</v>
      </c>
      <c r="C34" s="5" t="s">
        <v>54</v>
      </c>
      <c r="D34" s="4" t="s">
        <v>120</v>
      </c>
      <c r="E34" s="15" t="n">
        <v>121000</v>
      </c>
      <c r="F34" s="4" t="s">
        <v>121</v>
      </c>
      <c r="G34" s="16" t="s">
        <v>57</v>
      </c>
      <c r="H34" s="17"/>
      <c r="I34" s="17"/>
    </row>
    <row r="35" customFormat="false" ht="15" hidden="false" customHeight="false" outlineLevel="0" collapsed="false">
      <c r="A35" s="4" t="s">
        <v>14</v>
      </c>
      <c r="B35" s="5" t="s">
        <v>53</v>
      </c>
      <c r="C35" s="5" t="s">
        <v>54</v>
      </c>
      <c r="D35" s="4" t="s">
        <v>122</v>
      </c>
      <c r="E35" s="15" t="n">
        <v>39600</v>
      </c>
      <c r="F35" s="4" t="s">
        <v>123</v>
      </c>
      <c r="G35" s="16" t="s">
        <v>57</v>
      </c>
      <c r="H35" s="17"/>
      <c r="I35" s="17"/>
    </row>
    <row r="36" customFormat="false" ht="15" hidden="false" customHeight="false" outlineLevel="0" collapsed="false">
      <c r="A36" s="4" t="s">
        <v>14</v>
      </c>
      <c r="B36" s="5" t="s">
        <v>124</v>
      </c>
      <c r="C36" s="5" t="s">
        <v>54</v>
      </c>
      <c r="D36" s="4" t="s">
        <v>125</v>
      </c>
      <c r="E36" s="15" t="n">
        <v>9900</v>
      </c>
      <c r="F36" s="4" t="s">
        <v>126</v>
      </c>
      <c r="G36" s="16" t="s">
        <v>57</v>
      </c>
      <c r="H36" s="17"/>
      <c r="I36" s="17"/>
    </row>
    <row r="37" customFormat="false" ht="15" hidden="false" customHeight="false" outlineLevel="0" collapsed="false">
      <c r="A37" s="4" t="s">
        <v>14</v>
      </c>
      <c r="B37" s="5" t="s">
        <v>124</v>
      </c>
      <c r="C37" s="5" t="s">
        <v>54</v>
      </c>
      <c r="D37" s="4" t="s">
        <v>127</v>
      </c>
      <c r="E37" s="15" t="n">
        <v>8800</v>
      </c>
      <c r="F37" s="4" t="s">
        <v>128</v>
      </c>
      <c r="G37" s="16" t="s">
        <v>57</v>
      </c>
      <c r="H37" s="17"/>
      <c r="I37" s="17"/>
    </row>
    <row r="38" customFormat="false" ht="15" hidden="false" customHeight="false" outlineLevel="0" collapsed="false">
      <c r="A38" s="4" t="s">
        <v>14</v>
      </c>
      <c r="B38" s="5" t="s">
        <v>124</v>
      </c>
      <c r="C38" s="5" t="s">
        <v>54</v>
      </c>
      <c r="D38" s="4" t="s">
        <v>129</v>
      </c>
      <c r="E38" s="15" t="n">
        <v>8800</v>
      </c>
      <c r="F38" s="4" t="s">
        <v>130</v>
      </c>
      <c r="G38" s="16" t="s">
        <v>57</v>
      </c>
      <c r="H38" s="17"/>
      <c r="I38" s="17"/>
    </row>
    <row r="39" customFormat="false" ht="15" hidden="false" customHeight="false" outlineLevel="0" collapsed="false">
      <c r="A39" s="4" t="s">
        <v>14</v>
      </c>
      <c r="B39" s="5" t="s">
        <v>124</v>
      </c>
      <c r="C39" s="5" t="s">
        <v>54</v>
      </c>
      <c r="D39" s="4" t="s">
        <v>131</v>
      </c>
      <c r="E39" s="15" t="n">
        <v>14300</v>
      </c>
      <c r="F39" s="4" t="s">
        <v>132</v>
      </c>
      <c r="G39" s="16" t="s">
        <v>57</v>
      </c>
      <c r="H39" s="17"/>
      <c r="I39" s="17"/>
    </row>
    <row r="40" customFormat="false" ht="15" hidden="false" customHeight="false" outlineLevel="0" collapsed="false">
      <c r="A40" s="4" t="s">
        <v>14</v>
      </c>
      <c r="B40" s="5" t="s">
        <v>124</v>
      </c>
      <c r="C40" s="5" t="s">
        <v>54</v>
      </c>
      <c r="D40" s="4" t="s">
        <v>133</v>
      </c>
      <c r="E40" s="15" t="n">
        <v>9900</v>
      </c>
      <c r="F40" s="4" t="s">
        <v>134</v>
      </c>
      <c r="G40" s="16" t="s">
        <v>57</v>
      </c>
      <c r="H40" s="17"/>
      <c r="I40" s="17"/>
    </row>
    <row r="41" customFormat="false" ht="15" hidden="false" customHeight="false" outlineLevel="0" collapsed="false">
      <c r="A41" s="4" t="s">
        <v>14</v>
      </c>
      <c r="B41" s="5" t="s">
        <v>124</v>
      </c>
      <c r="C41" s="5" t="s">
        <v>54</v>
      </c>
      <c r="D41" s="4" t="s">
        <v>135</v>
      </c>
      <c r="E41" s="15" t="n">
        <v>9900</v>
      </c>
      <c r="F41" s="4" t="s">
        <v>136</v>
      </c>
      <c r="G41" s="16" t="s">
        <v>57</v>
      </c>
      <c r="H41" s="17"/>
      <c r="I41" s="17"/>
    </row>
    <row r="42" customFormat="false" ht="15" hidden="false" customHeight="false" outlineLevel="0" collapsed="false">
      <c r="A42" s="4" t="s">
        <v>14</v>
      </c>
      <c r="B42" s="5" t="s">
        <v>124</v>
      </c>
      <c r="C42" s="5" t="s">
        <v>54</v>
      </c>
      <c r="D42" s="4" t="s">
        <v>137</v>
      </c>
      <c r="E42" s="15" t="n">
        <v>6600</v>
      </c>
      <c r="F42" s="4" t="s">
        <v>138</v>
      </c>
      <c r="G42" s="16" t="s">
        <v>57</v>
      </c>
      <c r="H42" s="17"/>
      <c r="I42" s="17"/>
    </row>
    <row r="43" customFormat="false" ht="15" hidden="false" customHeight="false" outlineLevel="0" collapsed="false">
      <c r="A43" s="4" t="s">
        <v>14</v>
      </c>
      <c r="B43" s="5" t="s">
        <v>124</v>
      </c>
      <c r="C43" s="5" t="s">
        <v>54</v>
      </c>
      <c r="D43" s="4" t="s">
        <v>139</v>
      </c>
      <c r="E43" s="15" t="n">
        <v>22000</v>
      </c>
      <c r="F43" s="4" t="s">
        <v>140</v>
      </c>
      <c r="G43" s="16" t="s">
        <v>57</v>
      </c>
      <c r="H43" s="17"/>
      <c r="I43" s="17"/>
    </row>
    <row r="44" customFormat="false" ht="15" hidden="false" customHeight="false" outlineLevel="0" collapsed="false">
      <c r="A44" s="4" t="s">
        <v>14</v>
      </c>
      <c r="B44" s="5" t="s">
        <v>124</v>
      </c>
      <c r="C44" s="5" t="s">
        <v>54</v>
      </c>
      <c r="D44" s="4" t="s">
        <v>141</v>
      </c>
      <c r="E44" s="15" t="n">
        <v>39600</v>
      </c>
      <c r="F44" s="4" t="s">
        <v>142</v>
      </c>
      <c r="G44" s="16" t="s">
        <v>57</v>
      </c>
      <c r="H44" s="17"/>
      <c r="I44" s="17"/>
    </row>
    <row r="45" customFormat="false" ht="15" hidden="false" customHeight="false" outlineLevel="0" collapsed="false">
      <c r="A45" s="4" t="s">
        <v>14</v>
      </c>
      <c r="B45" s="5" t="s">
        <v>124</v>
      </c>
      <c r="C45" s="5" t="s">
        <v>54</v>
      </c>
      <c r="D45" s="4" t="s">
        <v>143</v>
      </c>
      <c r="E45" s="15" t="n">
        <v>27500</v>
      </c>
      <c r="F45" s="4" t="s">
        <v>144</v>
      </c>
      <c r="G45" s="16" t="s">
        <v>57</v>
      </c>
      <c r="H45" s="17"/>
      <c r="I45" s="17"/>
    </row>
    <row r="46" customFormat="false" ht="15" hidden="false" customHeight="false" outlineLevel="0" collapsed="false">
      <c r="A46" s="4" t="s">
        <v>14</v>
      </c>
      <c r="B46" s="5" t="s">
        <v>124</v>
      </c>
      <c r="C46" s="5" t="s">
        <v>54</v>
      </c>
      <c r="D46" s="4" t="s">
        <v>145</v>
      </c>
      <c r="E46" s="15" t="n">
        <v>39600</v>
      </c>
      <c r="F46" s="4" t="s">
        <v>146</v>
      </c>
      <c r="G46" s="16" t="s">
        <v>57</v>
      </c>
      <c r="H46" s="17"/>
      <c r="I46" s="17"/>
    </row>
    <row r="47" customFormat="false" ht="15" hidden="false" customHeight="false" outlineLevel="0" collapsed="false">
      <c r="A47" s="4" t="s">
        <v>14</v>
      </c>
      <c r="B47" s="5" t="s">
        <v>124</v>
      </c>
      <c r="C47" s="5" t="s">
        <v>54</v>
      </c>
      <c r="D47" s="4" t="s">
        <v>147</v>
      </c>
      <c r="E47" s="15" t="n">
        <v>70400</v>
      </c>
      <c r="F47" s="4" t="s">
        <v>148</v>
      </c>
      <c r="G47" s="16" t="s">
        <v>57</v>
      </c>
      <c r="H47" s="17"/>
      <c r="I47" s="17"/>
    </row>
    <row r="48" customFormat="false" ht="15" hidden="false" customHeight="false" outlineLevel="0" collapsed="false">
      <c r="A48" s="4" t="s">
        <v>14</v>
      </c>
      <c r="B48" s="5" t="s">
        <v>124</v>
      </c>
      <c r="C48" s="5" t="s">
        <v>54</v>
      </c>
      <c r="D48" s="4" t="s">
        <v>149</v>
      </c>
      <c r="E48" s="15" t="n">
        <v>61600</v>
      </c>
      <c r="F48" s="4" t="s">
        <v>150</v>
      </c>
      <c r="G48" s="16" t="s">
        <v>57</v>
      </c>
      <c r="H48" s="17"/>
      <c r="I48" s="17"/>
    </row>
    <row r="49" customFormat="false" ht="15" hidden="false" customHeight="false" outlineLevel="0" collapsed="false">
      <c r="A49" s="4" t="s">
        <v>14</v>
      </c>
      <c r="B49" s="5" t="s">
        <v>124</v>
      </c>
      <c r="C49" s="5" t="s">
        <v>54</v>
      </c>
      <c r="D49" s="4" t="s">
        <v>151</v>
      </c>
      <c r="E49" s="15" t="n">
        <v>36300</v>
      </c>
      <c r="F49" s="4" t="s">
        <v>152</v>
      </c>
      <c r="G49" s="16" t="s">
        <v>57</v>
      </c>
      <c r="H49" s="17"/>
      <c r="I49" s="17"/>
    </row>
    <row r="50" customFormat="false" ht="15" hidden="false" customHeight="false" outlineLevel="0" collapsed="false">
      <c r="A50" s="4" t="s">
        <v>14</v>
      </c>
      <c r="B50" s="5" t="s">
        <v>124</v>
      </c>
      <c r="C50" s="5" t="s">
        <v>54</v>
      </c>
      <c r="D50" s="4" t="s">
        <v>153</v>
      </c>
      <c r="E50" s="15" t="n">
        <v>73700</v>
      </c>
      <c r="F50" s="4" t="s">
        <v>154</v>
      </c>
      <c r="G50" s="16" t="s">
        <v>57</v>
      </c>
      <c r="H50" s="17"/>
      <c r="I50" s="17"/>
    </row>
    <row r="51" customFormat="false" ht="15" hidden="false" customHeight="false" outlineLevel="0" collapsed="false">
      <c r="A51" s="4" t="s">
        <v>14</v>
      </c>
      <c r="B51" s="5" t="s">
        <v>124</v>
      </c>
      <c r="C51" s="5" t="s">
        <v>54</v>
      </c>
      <c r="D51" s="4" t="s">
        <v>155</v>
      </c>
      <c r="E51" s="15" t="n">
        <v>49500</v>
      </c>
      <c r="F51" s="4" t="s">
        <v>156</v>
      </c>
      <c r="G51" s="16" t="s">
        <v>57</v>
      </c>
      <c r="H51" s="17"/>
      <c r="I51" s="17"/>
    </row>
    <row r="52" customFormat="false" ht="15" hidden="false" customHeight="false" outlineLevel="0" collapsed="false">
      <c r="A52" s="4" t="s">
        <v>14</v>
      </c>
      <c r="B52" s="5" t="s">
        <v>124</v>
      </c>
      <c r="C52" s="5" t="s">
        <v>54</v>
      </c>
      <c r="D52" s="4" t="s">
        <v>157</v>
      </c>
      <c r="E52" s="15" t="n">
        <v>60500</v>
      </c>
      <c r="F52" s="4" t="s">
        <v>158</v>
      </c>
      <c r="G52" s="16" t="s">
        <v>57</v>
      </c>
      <c r="H52" s="17"/>
      <c r="I52" s="17"/>
    </row>
    <row r="53" customFormat="false" ht="15" hidden="false" customHeight="false" outlineLevel="0" collapsed="false">
      <c r="A53" s="4" t="s">
        <v>14</v>
      </c>
      <c r="B53" s="5" t="s">
        <v>124</v>
      </c>
      <c r="C53" s="5" t="s">
        <v>54</v>
      </c>
      <c r="D53" s="4" t="s">
        <v>159</v>
      </c>
      <c r="E53" s="15" t="n">
        <v>33000</v>
      </c>
      <c r="F53" s="4" t="s">
        <v>160</v>
      </c>
      <c r="G53" s="16" t="s">
        <v>57</v>
      </c>
      <c r="H53" s="17"/>
      <c r="I53" s="17"/>
    </row>
    <row r="54" customFormat="false" ht="15" hidden="false" customHeight="false" outlineLevel="0" collapsed="false">
      <c r="A54" s="4" t="s">
        <v>14</v>
      </c>
      <c r="B54" s="5" t="s">
        <v>124</v>
      </c>
      <c r="C54" s="5" t="s">
        <v>54</v>
      </c>
      <c r="D54" s="4" t="s">
        <v>161</v>
      </c>
      <c r="E54" s="15" t="n">
        <v>46200</v>
      </c>
      <c r="F54" s="4" t="s">
        <v>162</v>
      </c>
      <c r="G54" s="16" t="s">
        <v>57</v>
      </c>
      <c r="H54" s="17"/>
      <c r="I54" s="17"/>
    </row>
    <row r="55" customFormat="false" ht="15" hidden="false" customHeight="false" outlineLevel="0" collapsed="false">
      <c r="A55" s="4" t="s">
        <v>14</v>
      </c>
      <c r="B55" s="5" t="s">
        <v>124</v>
      </c>
      <c r="C55" s="5" t="s">
        <v>54</v>
      </c>
      <c r="D55" s="4" t="s">
        <v>163</v>
      </c>
      <c r="E55" s="15" t="n">
        <v>37400</v>
      </c>
      <c r="F55" s="4" t="s">
        <v>164</v>
      </c>
      <c r="G55" s="16" t="s">
        <v>57</v>
      </c>
      <c r="H55" s="17"/>
      <c r="I55" s="17"/>
    </row>
    <row r="56" customFormat="false" ht="15" hidden="false" customHeight="false" outlineLevel="0" collapsed="false">
      <c r="A56" s="4" t="s">
        <v>14</v>
      </c>
      <c r="B56" s="5" t="s">
        <v>124</v>
      </c>
      <c r="C56" s="5" t="s">
        <v>54</v>
      </c>
      <c r="D56" s="4" t="s">
        <v>165</v>
      </c>
      <c r="E56" s="15" t="n">
        <v>38500</v>
      </c>
      <c r="F56" s="4" t="s">
        <v>166</v>
      </c>
      <c r="G56" s="16" t="s">
        <v>57</v>
      </c>
      <c r="H56" s="17"/>
      <c r="I56" s="17"/>
    </row>
    <row r="57" customFormat="false" ht="15" hidden="false" customHeight="false" outlineLevel="0" collapsed="false">
      <c r="A57" s="4" t="s">
        <v>14</v>
      </c>
      <c r="B57" s="5" t="s">
        <v>124</v>
      </c>
      <c r="C57" s="5" t="s">
        <v>54</v>
      </c>
      <c r="D57" s="4" t="s">
        <v>167</v>
      </c>
      <c r="E57" s="15" t="n">
        <v>24200</v>
      </c>
      <c r="F57" s="4" t="s">
        <v>168</v>
      </c>
      <c r="G57" s="16" t="s">
        <v>57</v>
      </c>
      <c r="H57" s="17"/>
      <c r="I57" s="17"/>
    </row>
    <row r="58" customFormat="false" ht="15" hidden="false" customHeight="false" outlineLevel="0" collapsed="false">
      <c r="A58" s="4" t="s">
        <v>14</v>
      </c>
      <c r="B58" s="5" t="s">
        <v>124</v>
      </c>
      <c r="C58" s="5" t="s">
        <v>54</v>
      </c>
      <c r="D58" s="4" t="s">
        <v>169</v>
      </c>
      <c r="E58" s="15" t="n">
        <v>79200</v>
      </c>
      <c r="F58" s="4" t="s">
        <v>170</v>
      </c>
      <c r="G58" s="16" t="s">
        <v>57</v>
      </c>
      <c r="H58" s="17"/>
      <c r="I58" s="17"/>
    </row>
    <row r="59" customFormat="false" ht="15" hidden="false" customHeight="false" outlineLevel="0" collapsed="false">
      <c r="A59" s="4" t="s">
        <v>14</v>
      </c>
      <c r="B59" s="5" t="s">
        <v>124</v>
      </c>
      <c r="C59" s="5" t="s">
        <v>54</v>
      </c>
      <c r="D59" s="4" t="s">
        <v>171</v>
      </c>
      <c r="E59" s="15" t="n">
        <v>27500</v>
      </c>
      <c r="F59" s="4" t="s">
        <v>172</v>
      </c>
      <c r="G59" s="16" t="s">
        <v>57</v>
      </c>
      <c r="H59" s="17"/>
      <c r="I59" s="17"/>
    </row>
    <row r="60" customFormat="false" ht="15" hidden="false" customHeight="false" outlineLevel="0" collapsed="false">
      <c r="A60" s="4" t="s">
        <v>14</v>
      </c>
      <c r="B60" s="5" t="s">
        <v>124</v>
      </c>
      <c r="C60" s="5" t="s">
        <v>54</v>
      </c>
      <c r="D60" s="4" t="s">
        <v>173</v>
      </c>
      <c r="E60" s="15" t="n">
        <v>33000</v>
      </c>
      <c r="F60" s="4" t="s">
        <v>174</v>
      </c>
      <c r="G60" s="16" t="s">
        <v>57</v>
      </c>
      <c r="H60" s="17"/>
      <c r="I60" s="17"/>
    </row>
    <row r="61" customFormat="false" ht="15" hidden="false" customHeight="false" outlineLevel="0" collapsed="false">
      <c r="A61" s="4" t="s">
        <v>14</v>
      </c>
      <c r="B61" s="5" t="s">
        <v>124</v>
      </c>
      <c r="C61" s="5" t="s">
        <v>54</v>
      </c>
      <c r="D61" s="4" t="s">
        <v>175</v>
      </c>
      <c r="E61" s="15" t="n">
        <v>36300</v>
      </c>
      <c r="F61" s="4" t="s">
        <v>176</v>
      </c>
      <c r="G61" s="16" t="s">
        <v>57</v>
      </c>
      <c r="H61" s="17"/>
      <c r="I61" s="17"/>
    </row>
    <row r="62" customFormat="false" ht="15" hidden="false" customHeight="false" outlineLevel="0" collapsed="false">
      <c r="A62" s="4" t="s">
        <v>14</v>
      </c>
      <c r="B62" s="5" t="s">
        <v>124</v>
      </c>
      <c r="C62" s="5" t="s">
        <v>54</v>
      </c>
      <c r="D62" s="4" t="s">
        <v>177</v>
      </c>
      <c r="E62" s="15" t="n">
        <v>36300</v>
      </c>
      <c r="F62" s="4" t="s">
        <v>178</v>
      </c>
      <c r="G62" s="16" t="s">
        <v>57</v>
      </c>
      <c r="H62" s="17"/>
      <c r="I62" s="17"/>
    </row>
    <row r="63" customFormat="false" ht="15" hidden="false" customHeight="false" outlineLevel="0" collapsed="false">
      <c r="A63" s="4" t="s">
        <v>14</v>
      </c>
      <c r="B63" s="5" t="s">
        <v>124</v>
      </c>
      <c r="C63" s="5" t="s">
        <v>54</v>
      </c>
      <c r="D63" s="4" t="s">
        <v>179</v>
      </c>
      <c r="E63" s="15" t="n">
        <v>35200</v>
      </c>
      <c r="F63" s="4" t="s">
        <v>180</v>
      </c>
      <c r="G63" s="16" t="s">
        <v>57</v>
      </c>
      <c r="H63" s="17"/>
      <c r="I63" s="17"/>
    </row>
    <row r="64" customFormat="false" ht="15" hidden="false" customHeight="false" outlineLevel="0" collapsed="false">
      <c r="A64" s="4" t="s">
        <v>14</v>
      </c>
      <c r="B64" s="5" t="s">
        <v>124</v>
      </c>
      <c r="C64" s="5" t="s">
        <v>54</v>
      </c>
      <c r="D64" s="4" t="s">
        <v>181</v>
      </c>
      <c r="E64" s="15" t="n">
        <v>35200</v>
      </c>
      <c r="F64" s="4" t="s">
        <v>182</v>
      </c>
      <c r="G64" s="16" t="s">
        <v>57</v>
      </c>
      <c r="H64" s="17"/>
      <c r="I64" s="17"/>
    </row>
    <row r="65" customFormat="false" ht="15" hidden="false" customHeight="false" outlineLevel="0" collapsed="false">
      <c r="A65" s="4" t="s">
        <v>14</v>
      </c>
      <c r="B65" s="5" t="s">
        <v>124</v>
      </c>
      <c r="C65" s="5" t="s">
        <v>54</v>
      </c>
      <c r="D65" s="4" t="s">
        <v>183</v>
      </c>
      <c r="E65" s="15" t="n">
        <v>55000</v>
      </c>
      <c r="F65" s="4" t="s">
        <v>184</v>
      </c>
      <c r="G65" s="16" t="s">
        <v>57</v>
      </c>
      <c r="H65" s="17"/>
      <c r="I65" s="17"/>
    </row>
    <row r="66" customFormat="false" ht="15" hidden="false" customHeight="false" outlineLevel="0" collapsed="false">
      <c r="A66" s="4" t="s">
        <v>14</v>
      </c>
      <c r="B66" s="5" t="s">
        <v>124</v>
      </c>
      <c r="C66" s="5" t="s">
        <v>54</v>
      </c>
      <c r="D66" s="4" t="s">
        <v>185</v>
      </c>
      <c r="E66" s="15" t="n">
        <v>105600</v>
      </c>
      <c r="F66" s="4" t="s">
        <v>186</v>
      </c>
      <c r="G66" s="16" t="s">
        <v>57</v>
      </c>
      <c r="H66" s="17"/>
      <c r="I66" s="17"/>
    </row>
    <row r="67" customFormat="false" ht="15" hidden="false" customHeight="false" outlineLevel="0" collapsed="false">
      <c r="A67" s="4" t="s">
        <v>14</v>
      </c>
      <c r="B67" s="5" t="s">
        <v>124</v>
      </c>
      <c r="C67" s="5" t="s">
        <v>54</v>
      </c>
      <c r="D67" s="4" t="s">
        <v>187</v>
      </c>
      <c r="E67" s="15" t="n">
        <v>96800</v>
      </c>
      <c r="F67" s="4" t="s">
        <v>188</v>
      </c>
      <c r="G67" s="16" t="s">
        <v>57</v>
      </c>
      <c r="H67" s="17"/>
      <c r="I67" s="17"/>
    </row>
    <row r="68" customFormat="false" ht="15" hidden="false" customHeight="false" outlineLevel="0" collapsed="false">
      <c r="A68" s="4" t="s">
        <v>14</v>
      </c>
      <c r="B68" s="5" t="s">
        <v>124</v>
      </c>
      <c r="C68" s="5" t="s">
        <v>54</v>
      </c>
      <c r="D68" s="4" t="s">
        <v>189</v>
      </c>
      <c r="E68" s="15" t="n">
        <v>11000</v>
      </c>
      <c r="F68" s="4" t="s">
        <v>190</v>
      </c>
      <c r="G68" s="16" t="s">
        <v>57</v>
      </c>
      <c r="H68" s="17"/>
      <c r="I68" s="17"/>
    </row>
    <row r="69" customFormat="false" ht="15" hidden="false" customHeight="false" outlineLevel="0" collapsed="false">
      <c r="A69" s="4" t="s">
        <v>14</v>
      </c>
      <c r="B69" s="5" t="s">
        <v>124</v>
      </c>
      <c r="C69" s="5" t="s">
        <v>54</v>
      </c>
      <c r="D69" s="4" t="s">
        <v>191</v>
      </c>
      <c r="E69" s="15" t="n">
        <v>6050</v>
      </c>
      <c r="F69" s="4" t="s">
        <v>192</v>
      </c>
      <c r="G69" s="16" t="s">
        <v>57</v>
      </c>
      <c r="H69" s="17"/>
      <c r="I69" s="17"/>
    </row>
    <row r="70" customFormat="false" ht="15" hidden="false" customHeight="false" outlineLevel="0" collapsed="false">
      <c r="A70" s="4" t="s">
        <v>14</v>
      </c>
      <c r="B70" s="5" t="s">
        <v>124</v>
      </c>
      <c r="C70" s="5" t="s">
        <v>54</v>
      </c>
      <c r="D70" s="4" t="s">
        <v>193</v>
      </c>
      <c r="E70" s="15" t="n">
        <v>6050</v>
      </c>
      <c r="F70" s="4" t="s">
        <v>194</v>
      </c>
      <c r="G70" s="16" t="s">
        <v>57</v>
      </c>
      <c r="H70" s="17"/>
      <c r="I70" s="17"/>
    </row>
    <row r="71" customFormat="false" ht="15" hidden="false" customHeight="false" outlineLevel="0" collapsed="false">
      <c r="A71" s="4" t="s">
        <v>14</v>
      </c>
      <c r="B71" s="5" t="s">
        <v>124</v>
      </c>
      <c r="C71" s="5" t="s">
        <v>54</v>
      </c>
      <c r="D71" s="4" t="s">
        <v>195</v>
      </c>
      <c r="E71" s="15" t="n">
        <v>4950</v>
      </c>
      <c r="F71" s="4" t="s">
        <v>196</v>
      </c>
      <c r="G71" s="16" t="s">
        <v>57</v>
      </c>
      <c r="H71" s="17"/>
      <c r="I71" s="17"/>
    </row>
    <row r="72" customFormat="false" ht="15" hidden="false" customHeight="false" outlineLevel="0" collapsed="false">
      <c r="A72" s="4" t="s">
        <v>14</v>
      </c>
      <c r="B72" s="5" t="s">
        <v>124</v>
      </c>
      <c r="C72" s="5" t="s">
        <v>54</v>
      </c>
      <c r="D72" s="4" t="s">
        <v>197</v>
      </c>
      <c r="E72" s="15" t="n">
        <v>22000</v>
      </c>
      <c r="F72" s="4" t="s">
        <v>198</v>
      </c>
      <c r="G72" s="16" t="s">
        <v>57</v>
      </c>
      <c r="H72" s="17"/>
      <c r="I72" s="17"/>
    </row>
    <row r="73" customFormat="false" ht="15" hidden="false" customHeight="false" outlineLevel="0" collapsed="false">
      <c r="A73" s="4" t="s">
        <v>14</v>
      </c>
      <c r="B73" s="5" t="s">
        <v>124</v>
      </c>
      <c r="C73" s="5" t="s">
        <v>54</v>
      </c>
      <c r="D73" s="4" t="s">
        <v>199</v>
      </c>
      <c r="E73" s="15" t="n">
        <v>39600</v>
      </c>
      <c r="F73" s="4" t="s">
        <v>200</v>
      </c>
      <c r="G73" s="16" t="s">
        <v>57</v>
      </c>
      <c r="H73" s="17"/>
      <c r="I73" s="17"/>
    </row>
    <row r="74" customFormat="false" ht="15" hidden="false" customHeight="false" outlineLevel="0" collapsed="false">
      <c r="A74" s="4" t="s">
        <v>14</v>
      </c>
      <c r="B74" s="5" t="s">
        <v>124</v>
      </c>
      <c r="C74" s="5" t="s">
        <v>54</v>
      </c>
      <c r="D74" s="4" t="s">
        <v>201</v>
      </c>
      <c r="E74" s="15" t="n">
        <v>39600</v>
      </c>
      <c r="F74" s="4" t="s">
        <v>202</v>
      </c>
      <c r="G74" s="16" t="s">
        <v>57</v>
      </c>
      <c r="H74" s="17"/>
      <c r="I74" s="17"/>
    </row>
    <row r="75" customFormat="false" ht="15" hidden="false" customHeight="false" outlineLevel="0" collapsed="false">
      <c r="A75" s="4" t="s">
        <v>14</v>
      </c>
      <c r="B75" s="5" t="s">
        <v>124</v>
      </c>
      <c r="C75" s="5" t="s">
        <v>54</v>
      </c>
      <c r="D75" s="4" t="s">
        <v>203</v>
      </c>
      <c r="E75" s="15" t="n">
        <v>70400</v>
      </c>
      <c r="F75" s="4" t="s">
        <v>204</v>
      </c>
      <c r="G75" s="16" t="s">
        <v>57</v>
      </c>
      <c r="H75" s="17"/>
      <c r="I75" s="17"/>
    </row>
    <row r="76" customFormat="false" ht="15" hidden="false" customHeight="false" outlineLevel="0" collapsed="false">
      <c r="A76" s="4" t="s">
        <v>14</v>
      </c>
      <c r="B76" s="5" t="s">
        <v>124</v>
      </c>
      <c r="C76" s="5" t="s">
        <v>54</v>
      </c>
      <c r="D76" s="4" t="s">
        <v>205</v>
      </c>
      <c r="E76" s="15" t="n">
        <v>61600</v>
      </c>
      <c r="F76" s="4" t="s">
        <v>206</v>
      </c>
      <c r="G76" s="16" t="s">
        <v>57</v>
      </c>
      <c r="H76" s="17"/>
      <c r="I76" s="17"/>
    </row>
    <row r="77" customFormat="false" ht="15" hidden="false" customHeight="false" outlineLevel="0" collapsed="false">
      <c r="A77" s="4" t="s">
        <v>14</v>
      </c>
      <c r="B77" s="5" t="s">
        <v>124</v>
      </c>
      <c r="C77" s="5" t="s">
        <v>54</v>
      </c>
      <c r="D77" s="4" t="s">
        <v>207</v>
      </c>
      <c r="E77" s="15" t="n">
        <v>36300</v>
      </c>
      <c r="F77" s="4" t="s">
        <v>208</v>
      </c>
      <c r="G77" s="16" t="s">
        <v>57</v>
      </c>
      <c r="H77" s="17"/>
      <c r="I77" s="17"/>
    </row>
    <row r="78" customFormat="false" ht="15" hidden="false" customHeight="false" outlineLevel="0" collapsed="false">
      <c r="A78" s="4" t="s">
        <v>14</v>
      </c>
      <c r="B78" s="5" t="s">
        <v>124</v>
      </c>
      <c r="C78" s="5" t="s">
        <v>54</v>
      </c>
      <c r="D78" s="4" t="s">
        <v>209</v>
      </c>
      <c r="E78" s="15" t="n">
        <v>73700</v>
      </c>
      <c r="F78" s="4" t="s">
        <v>210</v>
      </c>
      <c r="G78" s="16" t="s">
        <v>57</v>
      </c>
      <c r="H78" s="17"/>
      <c r="I78" s="17"/>
    </row>
    <row r="79" customFormat="false" ht="15" hidden="false" customHeight="false" outlineLevel="0" collapsed="false">
      <c r="A79" s="4" t="s">
        <v>14</v>
      </c>
      <c r="B79" s="5" t="s">
        <v>124</v>
      </c>
      <c r="C79" s="5" t="s">
        <v>54</v>
      </c>
      <c r="D79" s="4" t="s">
        <v>211</v>
      </c>
      <c r="E79" s="15" t="n">
        <v>49500</v>
      </c>
      <c r="F79" s="4" t="s">
        <v>212</v>
      </c>
      <c r="G79" s="16" t="s">
        <v>57</v>
      </c>
      <c r="H79" s="17"/>
      <c r="I79" s="17"/>
    </row>
    <row r="80" customFormat="false" ht="15" hidden="false" customHeight="false" outlineLevel="0" collapsed="false">
      <c r="A80" s="4" t="s">
        <v>14</v>
      </c>
      <c r="B80" s="5" t="s">
        <v>124</v>
      </c>
      <c r="C80" s="5" t="s">
        <v>54</v>
      </c>
      <c r="D80" s="4" t="s">
        <v>213</v>
      </c>
      <c r="E80" s="15" t="n">
        <v>33000</v>
      </c>
      <c r="F80" s="4" t="s">
        <v>214</v>
      </c>
      <c r="G80" s="16" t="s">
        <v>57</v>
      </c>
      <c r="H80" s="17"/>
      <c r="I80" s="17"/>
    </row>
    <row r="81" customFormat="false" ht="15" hidden="false" customHeight="false" outlineLevel="0" collapsed="false">
      <c r="A81" s="4" t="s">
        <v>14</v>
      </c>
      <c r="B81" s="5" t="s">
        <v>124</v>
      </c>
      <c r="C81" s="5" t="s">
        <v>54</v>
      </c>
      <c r="D81" s="4" t="s">
        <v>215</v>
      </c>
      <c r="E81" s="15" t="n">
        <v>46200</v>
      </c>
      <c r="F81" s="4" t="s">
        <v>216</v>
      </c>
      <c r="G81" s="16" t="s">
        <v>57</v>
      </c>
      <c r="H81" s="17"/>
      <c r="I81" s="17"/>
    </row>
    <row r="82" customFormat="false" ht="15" hidden="false" customHeight="false" outlineLevel="0" collapsed="false">
      <c r="A82" s="4" t="s">
        <v>14</v>
      </c>
      <c r="B82" s="5" t="s">
        <v>124</v>
      </c>
      <c r="C82" s="5" t="s">
        <v>54</v>
      </c>
      <c r="D82" s="4" t="s">
        <v>217</v>
      </c>
      <c r="E82" s="15" t="n">
        <v>37400</v>
      </c>
      <c r="F82" s="4" t="s">
        <v>218</v>
      </c>
      <c r="G82" s="16" t="s">
        <v>57</v>
      </c>
      <c r="H82" s="17"/>
      <c r="I82" s="17"/>
    </row>
    <row r="83" customFormat="false" ht="15" hidden="false" customHeight="false" outlineLevel="0" collapsed="false">
      <c r="A83" s="4" t="s">
        <v>14</v>
      </c>
      <c r="B83" s="5" t="s">
        <v>124</v>
      </c>
      <c r="C83" s="5" t="s">
        <v>54</v>
      </c>
      <c r="D83" s="4" t="s">
        <v>219</v>
      </c>
      <c r="E83" s="15" t="n">
        <v>38500</v>
      </c>
      <c r="F83" s="4" t="s">
        <v>220</v>
      </c>
      <c r="G83" s="16" t="s">
        <v>57</v>
      </c>
      <c r="H83" s="17"/>
      <c r="I83" s="17"/>
    </row>
    <row r="84" customFormat="false" ht="15" hidden="false" customHeight="false" outlineLevel="0" collapsed="false">
      <c r="A84" s="4" t="s">
        <v>14</v>
      </c>
      <c r="B84" s="5" t="s">
        <v>124</v>
      </c>
      <c r="C84" s="5" t="s">
        <v>54</v>
      </c>
      <c r="D84" s="4" t="s">
        <v>221</v>
      </c>
      <c r="E84" s="15" t="n">
        <v>24200</v>
      </c>
      <c r="F84" s="4" t="s">
        <v>222</v>
      </c>
      <c r="G84" s="16" t="s">
        <v>57</v>
      </c>
      <c r="H84" s="17"/>
      <c r="I84" s="17"/>
    </row>
    <row r="85" customFormat="false" ht="15" hidden="false" customHeight="false" outlineLevel="0" collapsed="false">
      <c r="A85" s="4" t="s">
        <v>14</v>
      </c>
      <c r="B85" s="5" t="s">
        <v>124</v>
      </c>
      <c r="C85" s="5" t="s">
        <v>54</v>
      </c>
      <c r="D85" s="4" t="s">
        <v>223</v>
      </c>
      <c r="E85" s="15" t="n">
        <v>79200</v>
      </c>
      <c r="F85" s="4" t="s">
        <v>224</v>
      </c>
      <c r="G85" s="16" t="s">
        <v>57</v>
      </c>
      <c r="H85" s="17"/>
      <c r="I85" s="17"/>
    </row>
    <row r="86" customFormat="false" ht="15" hidden="false" customHeight="false" outlineLevel="0" collapsed="false">
      <c r="A86" s="4" t="s">
        <v>14</v>
      </c>
      <c r="B86" s="5" t="s">
        <v>124</v>
      </c>
      <c r="C86" s="5" t="s">
        <v>54</v>
      </c>
      <c r="D86" s="4" t="s">
        <v>225</v>
      </c>
      <c r="E86" s="15" t="n">
        <v>27500</v>
      </c>
      <c r="F86" s="4" t="s">
        <v>226</v>
      </c>
      <c r="G86" s="16" t="s">
        <v>57</v>
      </c>
      <c r="H86" s="17"/>
      <c r="I86" s="17"/>
    </row>
    <row r="87" customFormat="false" ht="15" hidden="false" customHeight="false" outlineLevel="0" collapsed="false">
      <c r="A87" s="4" t="s">
        <v>14</v>
      </c>
      <c r="B87" s="5" t="s">
        <v>124</v>
      </c>
      <c r="C87" s="5" t="s">
        <v>54</v>
      </c>
      <c r="D87" s="4" t="s">
        <v>227</v>
      </c>
      <c r="E87" s="15" t="n">
        <v>33000</v>
      </c>
      <c r="F87" s="4" t="s">
        <v>228</v>
      </c>
      <c r="G87" s="16" t="s">
        <v>57</v>
      </c>
      <c r="H87" s="17"/>
      <c r="I87" s="17"/>
    </row>
    <row r="88" customFormat="false" ht="15" hidden="false" customHeight="false" outlineLevel="0" collapsed="false">
      <c r="A88" s="4" t="s">
        <v>14</v>
      </c>
      <c r="B88" s="5" t="s">
        <v>124</v>
      </c>
      <c r="C88" s="5" t="s">
        <v>54</v>
      </c>
      <c r="D88" s="4" t="s">
        <v>229</v>
      </c>
      <c r="E88" s="15" t="n">
        <v>36300</v>
      </c>
      <c r="F88" s="4" t="s">
        <v>230</v>
      </c>
      <c r="G88" s="16" t="s">
        <v>57</v>
      </c>
      <c r="H88" s="17"/>
      <c r="I88" s="17"/>
    </row>
    <row r="89" customFormat="false" ht="15" hidden="false" customHeight="false" outlineLevel="0" collapsed="false">
      <c r="A89" s="4" t="s">
        <v>14</v>
      </c>
      <c r="B89" s="5" t="s">
        <v>124</v>
      </c>
      <c r="C89" s="5" t="s">
        <v>54</v>
      </c>
      <c r="D89" s="4" t="s">
        <v>231</v>
      </c>
      <c r="E89" s="15" t="n">
        <v>36300</v>
      </c>
      <c r="F89" s="4" t="s">
        <v>232</v>
      </c>
      <c r="G89" s="16" t="s">
        <v>57</v>
      </c>
      <c r="H89" s="17"/>
      <c r="I89" s="17"/>
    </row>
    <row r="90" customFormat="false" ht="15" hidden="false" customHeight="false" outlineLevel="0" collapsed="false">
      <c r="A90" s="4" t="s">
        <v>14</v>
      </c>
      <c r="B90" s="5" t="s">
        <v>124</v>
      </c>
      <c r="C90" s="5" t="s">
        <v>54</v>
      </c>
      <c r="D90" s="4" t="s">
        <v>233</v>
      </c>
      <c r="E90" s="15" t="n">
        <v>35200</v>
      </c>
      <c r="F90" s="4" t="s">
        <v>234</v>
      </c>
      <c r="G90" s="16" t="s">
        <v>57</v>
      </c>
      <c r="H90" s="17"/>
      <c r="I90" s="17"/>
    </row>
    <row r="91" customFormat="false" ht="15" hidden="false" customHeight="false" outlineLevel="0" collapsed="false">
      <c r="A91" s="4" t="s">
        <v>14</v>
      </c>
      <c r="B91" s="5" t="s">
        <v>124</v>
      </c>
      <c r="C91" s="5" t="s">
        <v>54</v>
      </c>
      <c r="D91" s="4" t="s">
        <v>235</v>
      </c>
      <c r="E91" s="15" t="n">
        <v>35200</v>
      </c>
      <c r="F91" s="4" t="s">
        <v>236</v>
      </c>
      <c r="G91" s="16" t="s">
        <v>57</v>
      </c>
      <c r="H91" s="17"/>
      <c r="I91" s="17"/>
    </row>
    <row r="92" customFormat="false" ht="15" hidden="false" customHeight="false" outlineLevel="0" collapsed="false">
      <c r="A92" s="4" t="s">
        <v>14</v>
      </c>
      <c r="B92" s="5" t="s">
        <v>124</v>
      </c>
      <c r="C92" s="5" t="s">
        <v>54</v>
      </c>
      <c r="D92" s="4" t="s">
        <v>237</v>
      </c>
      <c r="E92" s="15" t="n">
        <v>55000</v>
      </c>
      <c r="F92" s="4" t="s">
        <v>238</v>
      </c>
      <c r="G92" s="16" t="s">
        <v>57</v>
      </c>
      <c r="H92" s="17"/>
      <c r="I92" s="17"/>
    </row>
    <row r="93" customFormat="false" ht="15" hidden="false" customHeight="false" outlineLevel="0" collapsed="false">
      <c r="A93" s="4" t="s">
        <v>14</v>
      </c>
      <c r="B93" s="5" t="s">
        <v>124</v>
      </c>
      <c r="C93" s="5" t="s">
        <v>54</v>
      </c>
      <c r="D93" s="4" t="s">
        <v>239</v>
      </c>
      <c r="E93" s="15" t="n">
        <v>105600</v>
      </c>
      <c r="F93" s="4" t="s">
        <v>240</v>
      </c>
      <c r="G93" s="16" t="s">
        <v>57</v>
      </c>
      <c r="H93" s="17"/>
      <c r="I93" s="17"/>
    </row>
    <row r="94" customFormat="false" ht="15" hidden="false" customHeight="false" outlineLevel="0" collapsed="false">
      <c r="A94" s="4" t="s">
        <v>14</v>
      </c>
      <c r="B94" s="5" t="s">
        <v>124</v>
      </c>
      <c r="C94" s="5" t="s">
        <v>54</v>
      </c>
      <c r="D94" s="4" t="s">
        <v>241</v>
      </c>
      <c r="E94" s="15" t="n">
        <v>96800</v>
      </c>
      <c r="F94" s="4" t="s">
        <v>242</v>
      </c>
      <c r="G94" s="16" t="s">
        <v>57</v>
      </c>
      <c r="H94" s="17"/>
      <c r="I94" s="17"/>
    </row>
    <row r="95" customFormat="false" ht="15" hidden="false" customHeight="false" outlineLevel="0" collapsed="false">
      <c r="A95" s="4" t="s">
        <v>14</v>
      </c>
      <c r="B95" s="5" t="s">
        <v>13</v>
      </c>
      <c r="C95" s="5" t="s">
        <v>243</v>
      </c>
      <c r="D95" s="4" t="s">
        <v>244</v>
      </c>
      <c r="E95" s="15" t="n">
        <v>6600</v>
      </c>
      <c r="F95" s="4" t="s">
        <v>245</v>
      </c>
      <c r="G95" s="16" t="s">
        <v>57</v>
      </c>
      <c r="H95" s="17"/>
      <c r="I95" s="17"/>
    </row>
    <row r="96" customFormat="false" ht="15" hidden="false" customHeight="false" outlineLevel="0" collapsed="false">
      <c r="A96" s="4" t="s">
        <v>14</v>
      </c>
      <c r="B96" s="5" t="s">
        <v>13</v>
      </c>
      <c r="C96" s="5" t="s">
        <v>243</v>
      </c>
      <c r="D96" s="4" t="s">
        <v>246</v>
      </c>
      <c r="E96" s="15" t="n">
        <v>12100</v>
      </c>
      <c r="F96" s="4" t="s">
        <v>247</v>
      </c>
      <c r="G96" s="16" t="s">
        <v>57</v>
      </c>
      <c r="H96" s="17"/>
      <c r="I96" s="17"/>
    </row>
    <row r="97" customFormat="false" ht="15" hidden="false" customHeight="false" outlineLevel="0" collapsed="false">
      <c r="A97" s="4" t="s">
        <v>14</v>
      </c>
      <c r="B97" s="5" t="s">
        <v>13</v>
      </c>
      <c r="C97" s="5" t="s">
        <v>243</v>
      </c>
      <c r="D97" s="4" t="s">
        <v>248</v>
      </c>
      <c r="E97" s="15" t="n">
        <v>9900</v>
      </c>
      <c r="F97" s="4" t="s">
        <v>249</v>
      </c>
      <c r="G97" s="16" t="s">
        <v>57</v>
      </c>
      <c r="H97" s="17"/>
      <c r="I97" s="17"/>
    </row>
    <row r="98" customFormat="false" ht="15" hidden="false" customHeight="false" outlineLevel="0" collapsed="false">
      <c r="A98" s="4" t="s">
        <v>14</v>
      </c>
      <c r="B98" s="5" t="s">
        <v>13</v>
      </c>
      <c r="C98" s="5" t="s">
        <v>243</v>
      </c>
      <c r="D98" s="4" t="s">
        <v>250</v>
      </c>
      <c r="E98" s="15" t="n">
        <v>9900</v>
      </c>
      <c r="F98" s="4" t="s">
        <v>251</v>
      </c>
      <c r="G98" s="16" t="s">
        <v>57</v>
      </c>
      <c r="H98" s="17"/>
      <c r="I98" s="17"/>
    </row>
    <row r="99" customFormat="false" ht="15" hidden="false" customHeight="false" outlineLevel="0" collapsed="false">
      <c r="A99" s="4" t="s">
        <v>14</v>
      </c>
      <c r="B99" s="5" t="s">
        <v>13</v>
      </c>
      <c r="C99" s="5" t="s">
        <v>243</v>
      </c>
      <c r="D99" s="4" t="s">
        <v>252</v>
      </c>
      <c r="E99" s="15" t="n">
        <v>11000</v>
      </c>
      <c r="F99" s="4" t="s">
        <v>253</v>
      </c>
      <c r="G99" s="16" t="s">
        <v>57</v>
      </c>
      <c r="H99" s="17"/>
      <c r="I99" s="17"/>
    </row>
    <row r="100" customFormat="false" ht="15" hidden="false" customHeight="false" outlineLevel="0" collapsed="false">
      <c r="A100" s="4" t="s">
        <v>14</v>
      </c>
      <c r="B100" s="5" t="s">
        <v>13</v>
      </c>
      <c r="C100" s="5" t="s">
        <v>243</v>
      </c>
      <c r="D100" s="4" t="s">
        <v>254</v>
      </c>
      <c r="E100" s="15" t="n">
        <v>9900</v>
      </c>
      <c r="F100" s="4" t="s">
        <v>255</v>
      </c>
      <c r="G100" s="16" t="s">
        <v>57</v>
      </c>
      <c r="H100" s="17"/>
      <c r="I100" s="17"/>
    </row>
    <row r="101" customFormat="false" ht="15" hidden="false" customHeight="false" outlineLevel="0" collapsed="false">
      <c r="A101" s="4" t="s">
        <v>14</v>
      </c>
      <c r="B101" s="5" t="s">
        <v>13</v>
      </c>
      <c r="C101" s="5" t="s">
        <v>243</v>
      </c>
      <c r="D101" s="4" t="s">
        <v>256</v>
      </c>
      <c r="E101" s="15" t="n">
        <v>9900</v>
      </c>
      <c r="F101" s="4" t="s">
        <v>257</v>
      </c>
      <c r="G101" s="16" t="s">
        <v>57</v>
      </c>
      <c r="H101" s="17"/>
      <c r="I101" s="17"/>
    </row>
    <row r="102" customFormat="false" ht="15" hidden="false" customHeight="false" outlineLevel="0" collapsed="false">
      <c r="A102" s="4" t="s">
        <v>14</v>
      </c>
      <c r="B102" s="5" t="s">
        <v>13</v>
      </c>
      <c r="C102" s="5" t="s">
        <v>243</v>
      </c>
      <c r="D102" s="4" t="s">
        <v>258</v>
      </c>
      <c r="E102" s="15" t="n">
        <v>33000</v>
      </c>
      <c r="F102" s="4" t="s">
        <v>259</v>
      </c>
      <c r="G102" s="16" t="s">
        <v>57</v>
      </c>
      <c r="H102" s="17"/>
      <c r="I102" s="17"/>
    </row>
    <row r="103" customFormat="false" ht="15" hidden="false" customHeight="false" outlineLevel="0" collapsed="false">
      <c r="A103" s="4" t="s">
        <v>14</v>
      </c>
      <c r="B103" s="5" t="s">
        <v>13</v>
      </c>
      <c r="C103" s="5" t="s">
        <v>243</v>
      </c>
      <c r="D103" s="4" t="s">
        <v>260</v>
      </c>
      <c r="E103" s="15" t="n">
        <v>29700</v>
      </c>
      <c r="F103" s="4" t="s">
        <v>261</v>
      </c>
      <c r="G103" s="16" t="s">
        <v>57</v>
      </c>
      <c r="H103" s="17"/>
      <c r="I103" s="17"/>
    </row>
    <row r="104" customFormat="false" ht="15" hidden="false" customHeight="false" outlineLevel="0" collapsed="false">
      <c r="A104" s="4" t="s">
        <v>14</v>
      </c>
      <c r="B104" s="5" t="s">
        <v>13</v>
      </c>
      <c r="C104" s="5" t="s">
        <v>243</v>
      </c>
      <c r="D104" s="4" t="s">
        <v>262</v>
      </c>
      <c r="E104" s="15" t="n">
        <v>25300</v>
      </c>
      <c r="F104" s="4" t="s">
        <v>263</v>
      </c>
      <c r="G104" s="16" t="s">
        <v>57</v>
      </c>
      <c r="H104" s="17"/>
      <c r="I104" s="17"/>
    </row>
    <row r="105" customFormat="false" ht="15" hidden="false" customHeight="false" outlineLevel="0" collapsed="false">
      <c r="A105" s="4" t="s">
        <v>14</v>
      </c>
      <c r="B105" s="5" t="s">
        <v>13</v>
      </c>
      <c r="C105" s="5" t="s">
        <v>243</v>
      </c>
      <c r="D105" s="4" t="s">
        <v>264</v>
      </c>
      <c r="E105" s="15" t="n">
        <v>22000</v>
      </c>
      <c r="F105" s="4" t="s">
        <v>265</v>
      </c>
      <c r="G105" s="16" t="s">
        <v>57</v>
      </c>
      <c r="H105" s="17"/>
      <c r="I105" s="17"/>
    </row>
    <row r="106" customFormat="false" ht="15" hidden="false" customHeight="false" outlineLevel="0" collapsed="false">
      <c r="A106" s="4" t="s">
        <v>14</v>
      </c>
      <c r="B106" s="5" t="s">
        <v>13</v>
      </c>
      <c r="C106" s="5" t="s">
        <v>243</v>
      </c>
      <c r="D106" s="4" t="s">
        <v>266</v>
      </c>
      <c r="E106" s="15" t="n">
        <v>25300</v>
      </c>
      <c r="F106" s="4" t="s">
        <v>267</v>
      </c>
      <c r="G106" s="16" t="s">
        <v>57</v>
      </c>
      <c r="H106" s="17"/>
      <c r="I106" s="17"/>
    </row>
    <row r="107" customFormat="false" ht="15" hidden="false" customHeight="false" outlineLevel="0" collapsed="false">
      <c r="A107" s="4" t="s">
        <v>14</v>
      </c>
      <c r="B107" s="5" t="s">
        <v>13</v>
      </c>
      <c r="C107" s="5" t="s">
        <v>243</v>
      </c>
      <c r="D107" s="4" t="s">
        <v>266</v>
      </c>
      <c r="E107" s="15" t="n">
        <v>24200</v>
      </c>
      <c r="F107" s="4" t="s">
        <v>268</v>
      </c>
      <c r="G107" s="16" t="s">
        <v>57</v>
      </c>
      <c r="H107" s="17"/>
      <c r="I107" s="17"/>
    </row>
    <row r="108" customFormat="false" ht="15" hidden="false" customHeight="false" outlineLevel="0" collapsed="false">
      <c r="A108" s="4" t="s">
        <v>14</v>
      </c>
      <c r="B108" s="5" t="s">
        <v>13</v>
      </c>
      <c r="C108" s="5" t="s">
        <v>243</v>
      </c>
      <c r="D108" s="4" t="s">
        <v>269</v>
      </c>
      <c r="E108" s="15" t="n">
        <v>37400</v>
      </c>
      <c r="F108" s="4" t="s">
        <v>270</v>
      </c>
      <c r="G108" s="16" t="s">
        <v>57</v>
      </c>
      <c r="H108" s="17"/>
      <c r="I108" s="17"/>
    </row>
    <row r="109" customFormat="false" ht="15" hidden="false" customHeight="false" outlineLevel="0" collapsed="false">
      <c r="A109" s="4" t="s">
        <v>14</v>
      </c>
      <c r="B109" s="5" t="s">
        <v>13</v>
      </c>
      <c r="C109" s="5" t="s">
        <v>243</v>
      </c>
      <c r="D109" s="4" t="s">
        <v>271</v>
      </c>
      <c r="E109" s="15" t="n">
        <v>81400</v>
      </c>
      <c r="F109" s="4" t="s">
        <v>272</v>
      </c>
      <c r="G109" s="16" t="s">
        <v>57</v>
      </c>
      <c r="H109" s="17"/>
      <c r="I109" s="17"/>
    </row>
    <row r="110" customFormat="false" ht="15" hidden="false" customHeight="false" outlineLevel="0" collapsed="false">
      <c r="A110" s="4" t="s">
        <v>14</v>
      </c>
      <c r="B110" s="5" t="s">
        <v>13</v>
      </c>
      <c r="C110" s="5" t="s">
        <v>243</v>
      </c>
      <c r="D110" s="4" t="s">
        <v>273</v>
      </c>
      <c r="E110" s="15" t="n">
        <v>19800</v>
      </c>
      <c r="F110" s="4" t="s">
        <v>274</v>
      </c>
      <c r="G110" s="16" t="s">
        <v>57</v>
      </c>
      <c r="H110" s="17"/>
      <c r="I110" s="17"/>
    </row>
    <row r="111" customFormat="false" ht="15" hidden="false" customHeight="false" outlineLevel="0" collapsed="false">
      <c r="A111" s="4" t="s">
        <v>14</v>
      </c>
      <c r="B111" s="5" t="s">
        <v>13</v>
      </c>
      <c r="C111" s="5" t="s">
        <v>243</v>
      </c>
      <c r="D111" s="4" t="s">
        <v>275</v>
      </c>
      <c r="E111" s="15" t="n">
        <v>14300</v>
      </c>
      <c r="F111" s="4" t="s">
        <v>276</v>
      </c>
      <c r="G111" s="16" t="s">
        <v>57</v>
      </c>
      <c r="H111" s="17"/>
      <c r="I111" s="17"/>
    </row>
    <row r="112" customFormat="false" ht="15" hidden="false" customHeight="false" outlineLevel="0" collapsed="false">
      <c r="A112" s="4" t="s">
        <v>14</v>
      </c>
      <c r="B112" s="5" t="s">
        <v>13</v>
      </c>
      <c r="C112" s="5" t="s">
        <v>243</v>
      </c>
      <c r="D112" s="4" t="s">
        <v>277</v>
      </c>
      <c r="E112" s="15" t="n">
        <v>17600</v>
      </c>
      <c r="F112" s="4" t="s">
        <v>278</v>
      </c>
      <c r="G112" s="16" t="s">
        <v>57</v>
      </c>
      <c r="H112" s="17"/>
      <c r="I112" s="17"/>
    </row>
    <row r="113" customFormat="false" ht="15" hidden="false" customHeight="false" outlineLevel="0" collapsed="false">
      <c r="A113" s="4" t="s">
        <v>14</v>
      </c>
      <c r="B113" s="5" t="s">
        <v>13</v>
      </c>
      <c r="C113" s="5" t="s">
        <v>243</v>
      </c>
      <c r="D113" s="4" t="s">
        <v>279</v>
      </c>
      <c r="E113" s="15" t="n">
        <v>23100</v>
      </c>
      <c r="F113" s="4" t="s">
        <v>280</v>
      </c>
      <c r="G113" s="16" t="s">
        <v>57</v>
      </c>
      <c r="H113" s="17"/>
      <c r="I113" s="17"/>
    </row>
    <row r="114" customFormat="false" ht="15" hidden="false" customHeight="false" outlineLevel="0" collapsed="false">
      <c r="A114" s="4" t="s">
        <v>14</v>
      </c>
      <c r="B114" s="5" t="s">
        <v>13</v>
      </c>
      <c r="C114" s="5" t="s">
        <v>243</v>
      </c>
      <c r="D114" s="4" t="s">
        <v>281</v>
      </c>
      <c r="E114" s="15" t="n">
        <v>14300</v>
      </c>
      <c r="F114" s="4" t="s">
        <v>282</v>
      </c>
      <c r="G114" s="16" t="s">
        <v>57</v>
      </c>
      <c r="H114" s="17"/>
      <c r="I114" s="17"/>
    </row>
    <row r="115" customFormat="false" ht="15" hidden="false" customHeight="false" outlineLevel="0" collapsed="false">
      <c r="A115" s="4" t="s">
        <v>14</v>
      </c>
      <c r="B115" s="5" t="s">
        <v>13</v>
      </c>
      <c r="C115" s="5" t="s">
        <v>243</v>
      </c>
      <c r="D115" s="4" t="s">
        <v>283</v>
      </c>
      <c r="E115" s="15" t="n">
        <v>11000</v>
      </c>
      <c r="F115" s="4" t="s">
        <v>284</v>
      </c>
      <c r="G115" s="16" t="s">
        <v>57</v>
      </c>
      <c r="H115" s="17"/>
      <c r="I115" s="17"/>
    </row>
    <row r="116" customFormat="false" ht="15" hidden="false" customHeight="false" outlineLevel="0" collapsed="false">
      <c r="A116" s="4" t="s">
        <v>14</v>
      </c>
      <c r="B116" s="5" t="s">
        <v>13</v>
      </c>
      <c r="C116" s="5" t="s">
        <v>243</v>
      </c>
      <c r="D116" s="4" t="s">
        <v>285</v>
      </c>
      <c r="E116" s="15" t="n">
        <v>13200</v>
      </c>
      <c r="F116" s="4" t="s">
        <v>286</v>
      </c>
      <c r="G116" s="16" t="s">
        <v>57</v>
      </c>
      <c r="H116" s="17"/>
      <c r="I116" s="17"/>
    </row>
    <row r="117" customFormat="false" ht="15" hidden="false" customHeight="false" outlineLevel="0" collapsed="false">
      <c r="A117" s="4" t="s">
        <v>14</v>
      </c>
      <c r="B117" s="5" t="s">
        <v>13</v>
      </c>
      <c r="C117" s="5" t="s">
        <v>243</v>
      </c>
      <c r="D117" s="4" t="s">
        <v>287</v>
      </c>
      <c r="E117" s="15" t="n">
        <v>14300</v>
      </c>
      <c r="F117" s="4" t="s">
        <v>288</v>
      </c>
      <c r="G117" s="16" t="s">
        <v>57</v>
      </c>
      <c r="H117" s="17"/>
      <c r="I117" s="17"/>
    </row>
    <row r="118" customFormat="false" ht="15" hidden="false" customHeight="false" outlineLevel="0" collapsed="false">
      <c r="A118" s="4" t="s">
        <v>14</v>
      </c>
      <c r="B118" s="5" t="s">
        <v>13</v>
      </c>
      <c r="C118" s="5" t="s">
        <v>243</v>
      </c>
      <c r="D118" s="4" t="s">
        <v>289</v>
      </c>
      <c r="E118" s="15" t="n">
        <v>29700</v>
      </c>
      <c r="F118" s="4" t="s">
        <v>290</v>
      </c>
      <c r="G118" s="16" t="s">
        <v>57</v>
      </c>
      <c r="H118" s="17"/>
      <c r="I118" s="17"/>
    </row>
    <row r="119" customFormat="false" ht="15" hidden="false" customHeight="false" outlineLevel="0" collapsed="false">
      <c r="A119" s="4" t="s">
        <v>14</v>
      </c>
      <c r="B119" s="5" t="s">
        <v>13</v>
      </c>
      <c r="C119" s="5" t="s">
        <v>243</v>
      </c>
      <c r="D119" s="4" t="s">
        <v>291</v>
      </c>
      <c r="E119" s="15" t="n">
        <v>55000</v>
      </c>
      <c r="F119" s="4" t="s">
        <v>292</v>
      </c>
      <c r="G119" s="16" t="s">
        <v>57</v>
      </c>
      <c r="H119" s="17"/>
      <c r="I119" s="17"/>
    </row>
    <row r="120" customFormat="false" ht="15" hidden="false" customHeight="false" outlineLevel="0" collapsed="false">
      <c r="A120" s="4" t="s">
        <v>14</v>
      </c>
      <c r="B120" s="5" t="s">
        <v>13</v>
      </c>
      <c r="C120" s="5" t="s">
        <v>243</v>
      </c>
      <c r="D120" s="4" t="s">
        <v>293</v>
      </c>
      <c r="E120" s="15" t="n">
        <v>39600</v>
      </c>
      <c r="F120" s="4" t="s">
        <v>294</v>
      </c>
      <c r="G120" s="16" t="s">
        <v>57</v>
      </c>
      <c r="H120" s="17"/>
      <c r="I120" s="17"/>
    </row>
    <row r="121" customFormat="false" ht="15" hidden="false" customHeight="false" outlineLevel="0" collapsed="false">
      <c r="A121" s="4" t="s">
        <v>14</v>
      </c>
      <c r="B121" s="5" t="s">
        <v>13</v>
      </c>
      <c r="C121" s="5" t="s">
        <v>243</v>
      </c>
      <c r="D121" s="4" t="s">
        <v>295</v>
      </c>
      <c r="E121" s="15" t="n">
        <v>37400</v>
      </c>
      <c r="F121" s="4" t="s">
        <v>296</v>
      </c>
      <c r="G121" s="16" t="s">
        <v>57</v>
      </c>
      <c r="H121" s="17"/>
      <c r="I121" s="17"/>
    </row>
    <row r="122" customFormat="false" ht="15" hidden="false" customHeight="false" outlineLevel="0" collapsed="false">
      <c r="A122" s="4" t="s">
        <v>14</v>
      </c>
      <c r="B122" s="5" t="s">
        <v>13</v>
      </c>
      <c r="C122" s="5" t="s">
        <v>243</v>
      </c>
      <c r="D122" s="4" t="s">
        <v>297</v>
      </c>
      <c r="E122" s="15" t="n">
        <v>39600</v>
      </c>
      <c r="F122" s="4" t="s">
        <v>298</v>
      </c>
      <c r="G122" s="16" t="s">
        <v>57</v>
      </c>
      <c r="H122" s="17"/>
      <c r="I122" s="17"/>
    </row>
    <row r="123" customFormat="false" ht="15" hidden="false" customHeight="false" outlineLevel="0" collapsed="false">
      <c r="A123" s="4" t="s">
        <v>14</v>
      </c>
      <c r="B123" s="5" t="s">
        <v>13</v>
      </c>
      <c r="C123" s="5" t="s">
        <v>243</v>
      </c>
      <c r="D123" s="4" t="s">
        <v>299</v>
      </c>
      <c r="E123" s="15" t="n">
        <v>13200</v>
      </c>
      <c r="F123" s="4" t="s">
        <v>300</v>
      </c>
      <c r="G123" s="16" t="s">
        <v>57</v>
      </c>
      <c r="H123" s="17"/>
      <c r="I123" s="17"/>
    </row>
    <row r="124" customFormat="false" ht="15" hidden="false" customHeight="false" outlineLevel="0" collapsed="false">
      <c r="A124" s="4" t="s">
        <v>14</v>
      </c>
      <c r="B124" s="5" t="s">
        <v>13</v>
      </c>
      <c r="C124" s="5" t="s">
        <v>243</v>
      </c>
      <c r="D124" s="4" t="s">
        <v>301</v>
      </c>
      <c r="E124" s="15" t="n">
        <v>19800</v>
      </c>
      <c r="F124" s="4" t="s">
        <v>302</v>
      </c>
      <c r="G124" s="16" t="s">
        <v>57</v>
      </c>
      <c r="H124" s="17"/>
      <c r="I124" s="17"/>
    </row>
    <row r="125" customFormat="false" ht="15" hidden="false" customHeight="false" outlineLevel="0" collapsed="false">
      <c r="A125" s="4" t="s">
        <v>14</v>
      </c>
      <c r="B125" s="5" t="s">
        <v>13</v>
      </c>
      <c r="C125" s="5" t="s">
        <v>243</v>
      </c>
      <c r="D125" s="4" t="s">
        <v>303</v>
      </c>
      <c r="E125" s="15" t="n">
        <v>22000</v>
      </c>
      <c r="F125" s="4" t="s">
        <v>304</v>
      </c>
      <c r="G125" s="16" t="s">
        <v>57</v>
      </c>
      <c r="H125" s="17"/>
      <c r="I125" s="17"/>
    </row>
    <row r="126" customFormat="false" ht="15" hidden="false" customHeight="false" outlineLevel="0" collapsed="false">
      <c r="A126" s="4" t="s">
        <v>14</v>
      </c>
      <c r="B126" s="5" t="s">
        <v>13</v>
      </c>
      <c r="C126" s="5" t="s">
        <v>243</v>
      </c>
      <c r="D126" s="4" t="s">
        <v>305</v>
      </c>
      <c r="E126" s="15" t="n">
        <v>8800</v>
      </c>
      <c r="F126" s="4" t="s">
        <v>306</v>
      </c>
      <c r="G126" s="16" t="s">
        <v>57</v>
      </c>
      <c r="H126" s="17"/>
      <c r="I126" s="17"/>
    </row>
    <row r="127" customFormat="false" ht="15" hidden="false" customHeight="false" outlineLevel="0" collapsed="false">
      <c r="A127" s="4" t="s">
        <v>14</v>
      </c>
      <c r="B127" s="5" t="s">
        <v>13</v>
      </c>
      <c r="C127" s="5" t="s">
        <v>243</v>
      </c>
      <c r="D127" s="4" t="s">
        <v>307</v>
      </c>
      <c r="E127" s="15" t="n">
        <v>25300</v>
      </c>
      <c r="F127" s="4" t="s">
        <v>308</v>
      </c>
      <c r="G127" s="16" t="s">
        <v>57</v>
      </c>
      <c r="H127" s="17"/>
      <c r="I127" s="17"/>
    </row>
    <row r="128" customFormat="false" ht="15" hidden="false" customHeight="false" outlineLevel="0" collapsed="false">
      <c r="A128" s="4" t="s">
        <v>14</v>
      </c>
      <c r="B128" s="5" t="s">
        <v>13</v>
      </c>
      <c r="C128" s="5" t="s">
        <v>243</v>
      </c>
      <c r="D128" s="4" t="s">
        <v>309</v>
      </c>
      <c r="E128" s="15" t="n">
        <v>30800</v>
      </c>
      <c r="F128" s="4" t="s">
        <v>310</v>
      </c>
      <c r="G128" s="16" t="s">
        <v>57</v>
      </c>
      <c r="H128" s="17"/>
      <c r="I128" s="17"/>
    </row>
    <row r="129" customFormat="false" ht="15" hidden="false" customHeight="false" outlineLevel="0" collapsed="false">
      <c r="A129" s="4" t="s">
        <v>14</v>
      </c>
      <c r="B129" s="5" t="s">
        <v>13</v>
      </c>
      <c r="C129" s="5" t="s">
        <v>243</v>
      </c>
      <c r="D129" s="4" t="s">
        <v>311</v>
      </c>
      <c r="E129" s="15" t="n">
        <v>30800</v>
      </c>
      <c r="F129" s="4" t="s">
        <v>312</v>
      </c>
      <c r="G129" s="16" t="s">
        <v>57</v>
      </c>
      <c r="H129" s="17"/>
      <c r="I129" s="17"/>
    </row>
    <row r="130" customFormat="false" ht="15" hidden="false" customHeight="false" outlineLevel="0" collapsed="false">
      <c r="A130" s="4" t="s">
        <v>14</v>
      </c>
      <c r="B130" s="5" t="s">
        <v>13</v>
      </c>
      <c r="C130" s="5" t="s">
        <v>243</v>
      </c>
      <c r="D130" s="4" t="s">
        <v>313</v>
      </c>
      <c r="E130" s="15" t="n">
        <v>37400</v>
      </c>
      <c r="F130" s="4" t="s">
        <v>314</v>
      </c>
      <c r="G130" s="16" t="s">
        <v>57</v>
      </c>
      <c r="H130" s="17"/>
      <c r="I130" s="17"/>
    </row>
    <row r="131" customFormat="false" ht="15" hidden="false" customHeight="false" outlineLevel="0" collapsed="false">
      <c r="A131" s="4" t="s">
        <v>14</v>
      </c>
      <c r="B131" s="5" t="s">
        <v>13</v>
      </c>
      <c r="C131" s="5" t="s">
        <v>243</v>
      </c>
      <c r="D131" s="4" t="s">
        <v>315</v>
      </c>
      <c r="E131" s="15" t="n">
        <v>12100</v>
      </c>
      <c r="F131" s="4" t="s">
        <v>316</v>
      </c>
      <c r="G131" s="16" t="s">
        <v>57</v>
      </c>
      <c r="H131" s="17"/>
      <c r="I131" s="17"/>
    </row>
    <row r="132" customFormat="false" ht="15" hidden="false" customHeight="false" outlineLevel="0" collapsed="false">
      <c r="A132" s="4" t="s">
        <v>14</v>
      </c>
      <c r="B132" s="5" t="s">
        <v>13</v>
      </c>
      <c r="C132" s="5" t="s">
        <v>243</v>
      </c>
      <c r="D132" s="4" t="s">
        <v>317</v>
      </c>
      <c r="E132" s="15" t="n">
        <v>33000</v>
      </c>
      <c r="F132" s="4" t="s">
        <v>318</v>
      </c>
      <c r="G132" s="16" t="s">
        <v>57</v>
      </c>
      <c r="H132" s="17"/>
      <c r="I132" s="17"/>
    </row>
    <row r="133" customFormat="false" ht="15" hidden="false" customHeight="false" outlineLevel="0" collapsed="false">
      <c r="A133" s="4" t="s">
        <v>14</v>
      </c>
      <c r="B133" s="5" t="s">
        <v>13</v>
      </c>
      <c r="C133" s="5" t="s">
        <v>243</v>
      </c>
      <c r="D133" s="4" t="s">
        <v>319</v>
      </c>
      <c r="E133" s="15" t="n">
        <v>29700</v>
      </c>
      <c r="F133" s="4" t="s">
        <v>320</v>
      </c>
      <c r="G133" s="16" t="s">
        <v>57</v>
      </c>
      <c r="H133" s="17"/>
      <c r="I133" s="17"/>
    </row>
    <row r="134" customFormat="false" ht="15" hidden="false" customHeight="false" outlineLevel="0" collapsed="false">
      <c r="A134" s="4" t="s">
        <v>14</v>
      </c>
      <c r="B134" s="5" t="s">
        <v>13</v>
      </c>
      <c r="C134" s="5" t="s">
        <v>243</v>
      </c>
      <c r="D134" s="4" t="s">
        <v>321</v>
      </c>
      <c r="E134" s="15" t="n">
        <v>22000</v>
      </c>
      <c r="F134" s="4" t="s">
        <v>322</v>
      </c>
      <c r="G134" s="16" t="s">
        <v>57</v>
      </c>
      <c r="H134" s="17"/>
      <c r="I134" s="17"/>
    </row>
    <row r="135" customFormat="false" ht="15" hidden="false" customHeight="false" outlineLevel="0" collapsed="false">
      <c r="A135" s="4" t="s">
        <v>14</v>
      </c>
      <c r="B135" s="5" t="s">
        <v>13</v>
      </c>
      <c r="C135" s="5" t="s">
        <v>243</v>
      </c>
      <c r="D135" s="4" t="s">
        <v>323</v>
      </c>
      <c r="E135" s="15" t="n">
        <v>29700</v>
      </c>
      <c r="F135" s="4" t="s">
        <v>324</v>
      </c>
      <c r="G135" s="16" t="s">
        <v>57</v>
      </c>
      <c r="H135" s="17"/>
      <c r="I135" s="17"/>
    </row>
    <row r="136" customFormat="false" ht="15" hidden="false" customHeight="false" outlineLevel="0" collapsed="false">
      <c r="A136" s="4" t="s">
        <v>14</v>
      </c>
      <c r="B136" s="5" t="s">
        <v>13</v>
      </c>
      <c r="C136" s="5" t="s">
        <v>243</v>
      </c>
      <c r="D136" s="4" t="s">
        <v>325</v>
      </c>
      <c r="E136" s="15" t="n">
        <v>17600</v>
      </c>
      <c r="F136" s="4" t="s">
        <v>326</v>
      </c>
      <c r="G136" s="16" t="s">
        <v>57</v>
      </c>
      <c r="H136" s="17"/>
      <c r="I136" s="17"/>
    </row>
    <row r="137" customFormat="false" ht="15" hidden="false" customHeight="false" outlineLevel="0" collapsed="false">
      <c r="A137" s="4" t="s">
        <v>14</v>
      </c>
      <c r="B137" s="5" t="s">
        <v>13</v>
      </c>
      <c r="C137" s="5" t="s">
        <v>243</v>
      </c>
      <c r="D137" s="4" t="s">
        <v>327</v>
      </c>
      <c r="E137" s="15" t="n">
        <v>37400</v>
      </c>
      <c r="F137" s="4" t="s">
        <v>328</v>
      </c>
      <c r="G137" s="16" t="s">
        <v>57</v>
      </c>
      <c r="H137" s="17"/>
      <c r="I137" s="17"/>
    </row>
    <row r="138" customFormat="false" ht="15" hidden="false" customHeight="false" outlineLevel="0" collapsed="false">
      <c r="A138" s="4" t="s">
        <v>14</v>
      </c>
      <c r="B138" s="5" t="s">
        <v>13</v>
      </c>
      <c r="C138" s="5" t="s">
        <v>243</v>
      </c>
      <c r="D138" s="4" t="s">
        <v>329</v>
      </c>
      <c r="E138" s="15" t="n">
        <v>81400</v>
      </c>
      <c r="F138" s="4" t="s">
        <v>330</v>
      </c>
      <c r="G138" s="16" t="s">
        <v>57</v>
      </c>
      <c r="H138" s="17"/>
      <c r="I138" s="17"/>
    </row>
    <row r="139" customFormat="false" ht="15" hidden="false" customHeight="false" outlineLevel="0" collapsed="false">
      <c r="A139" s="4" t="s">
        <v>14</v>
      </c>
      <c r="B139" s="5" t="s">
        <v>13</v>
      </c>
      <c r="C139" s="5" t="s">
        <v>243</v>
      </c>
      <c r="D139" s="4" t="s">
        <v>331</v>
      </c>
      <c r="E139" s="15" t="n">
        <v>19800</v>
      </c>
      <c r="F139" s="4" t="s">
        <v>332</v>
      </c>
      <c r="G139" s="16" t="s">
        <v>57</v>
      </c>
      <c r="H139" s="17"/>
      <c r="I139" s="17"/>
    </row>
    <row r="140" customFormat="false" ht="15" hidden="false" customHeight="false" outlineLevel="0" collapsed="false">
      <c r="A140" s="4" t="s">
        <v>14</v>
      </c>
      <c r="B140" s="5" t="s">
        <v>13</v>
      </c>
      <c r="C140" s="5" t="s">
        <v>243</v>
      </c>
      <c r="D140" s="4" t="s">
        <v>333</v>
      </c>
      <c r="E140" s="15" t="n">
        <v>14300</v>
      </c>
      <c r="F140" s="4" t="s">
        <v>334</v>
      </c>
      <c r="G140" s="16" t="s">
        <v>57</v>
      </c>
      <c r="H140" s="17"/>
      <c r="I140" s="17"/>
    </row>
    <row r="141" customFormat="false" ht="15" hidden="false" customHeight="false" outlineLevel="0" collapsed="false">
      <c r="A141" s="4" t="s">
        <v>14</v>
      </c>
      <c r="B141" s="5" t="s">
        <v>13</v>
      </c>
      <c r="C141" s="5" t="s">
        <v>243</v>
      </c>
      <c r="D141" s="4" t="s">
        <v>335</v>
      </c>
      <c r="E141" s="15" t="n">
        <v>17600</v>
      </c>
      <c r="F141" s="4" t="s">
        <v>336</v>
      </c>
      <c r="G141" s="16" t="s">
        <v>57</v>
      </c>
      <c r="H141" s="17"/>
      <c r="I141" s="17"/>
    </row>
    <row r="142" customFormat="false" ht="15" hidden="false" customHeight="false" outlineLevel="0" collapsed="false">
      <c r="A142" s="4" t="s">
        <v>14</v>
      </c>
      <c r="B142" s="5" t="s">
        <v>13</v>
      </c>
      <c r="C142" s="5" t="s">
        <v>243</v>
      </c>
      <c r="D142" s="4" t="s">
        <v>337</v>
      </c>
      <c r="E142" s="15" t="n">
        <v>23100</v>
      </c>
      <c r="F142" s="4" t="s">
        <v>338</v>
      </c>
      <c r="G142" s="16" t="s">
        <v>57</v>
      </c>
      <c r="H142" s="17"/>
      <c r="I142" s="17"/>
    </row>
    <row r="143" customFormat="false" ht="15" hidden="false" customHeight="false" outlineLevel="0" collapsed="false">
      <c r="A143" s="4" t="s">
        <v>14</v>
      </c>
      <c r="B143" s="5" t="s">
        <v>13</v>
      </c>
      <c r="C143" s="5" t="s">
        <v>243</v>
      </c>
      <c r="D143" s="4" t="s">
        <v>339</v>
      </c>
      <c r="E143" s="15" t="n">
        <v>14300</v>
      </c>
      <c r="F143" s="4" t="s">
        <v>340</v>
      </c>
      <c r="G143" s="16" t="s">
        <v>57</v>
      </c>
      <c r="H143" s="17"/>
      <c r="I143" s="17"/>
    </row>
    <row r="144" customFormat="false" ht="15" hidden="false" customHeight="false" outlineLevel="0" collapsed="false">
      <c r="A144" s="4" t="s">
        <v>14</v>
      </c>
      <c r="B144" s="5" t="s">
        <v>13</v>
      </c>
      <c r="C144" s="5" t="s">
        <v>243</v>
      </c>
      <c r="D144" s="4" t="s">
        <v>341</v>
      </c>
      <c r="E144" s="15" t="n">
        <v>11000</v>
      </c>
      <c r="F144" s="4" t="s">
        <v>342</v>
      </c>
      <c r="G144" s="16" t="s">
        <v>57</v>
      </c>
      <c r="H144" s="17"/>
      <c r="I144" s="17"/>
    </row>
    <row r="145" customFormat="false" ht="15" hidden="false" customHeight="false" outlineLevel="0" collapsed="false">
      <c r="A145" s="4" t="s">
        <v>14</v>
      </c>
      <c r="B145" s="5" t="s">
        <v>13</v>
      </c>
      <c r="C145" s="5" t="s">
        <v>243</v>
      </c>
      <c r="D145" s="4" t="s">
        <v>343</v>
      </c>
      <c r="E145" s="15" t="n">
        <v>13200</v>
      </c>
      <c r="F145" s="4" t="s">
        <v>344</v>
      </c>
      <c r="G145" s="16" t="s">
        <v>57</v>
      </c>
      <c r="H145" s="17"/>
      <c r="I145" s="17"/>
    </row>
    <row r="146" customFormat="false" ht="15" hidden="false" customHeight="false" outlineLevel="0" collapsed="false">
      <c r="A146" s="4" t="s">
        <v>14</v>
      </c>
      <c r="B146" s="5" t="s">
        <v>13</v>
      </c>
      <c r="C146" s="5" t="s">
        <v>243</v>
      </c>
      <c r="D146" s="4" t="s">
        <v>345</v>
      </c>
      <c r="E146" s="15" t="n">
        <v>24200</v>
      </c>
      <c r="F146" s="4" t="s">
        <v>346</v>
      </c>
      <c r="G146" s="16" t="s">
        <v>57</v>
      </c>
      <c r="H146" s="17"/>
      <c r="I146" s="17"/>
    </row>
    <row r="147" customFormat="false" ht="15" hidden="false" customHeight="false" outlineLevel="0" collapsed="false">
      <c r="A147" s="4" t="s">
        <v>14</v>
      </c>
      <c r="B147" s="5" t="s">
        <v>13</v>
      </c>
      <c r="C147" s="5" t="s">
        <v>243</v>
      </c>
      <c r="D147" s="4" t="s">
        <v>347</v>
      </c>
      <c r="E147" s="15" t="n">
        <v>29700</v>
      </c>
      <c r="F147" s="4" t="s">
        <v>348</v>
      </c>
      <c r="G147" s="16" t="s">
        <v>57</v>
      </c>
      <c r="H147" s="17"/>
      <c r="I147" s="17"/>
    </row>
    <row r="148" customFormat="false" ht="15" hidden="false" customHeight="false" outlineLevel="0" collapsed="false">
      <c r="A148" s="4" t="s">
        <v>14</v>
      </c>
      <c r="B148" s="5" t="s">
        <v>13</v>
      </c>
      <c r="C148" s="5" t="s">
        <v>243</v>
      </c>
      <c r="D148" s="4" t="s">
        <v>349</v>
      </c>
      <c r="E148" s="15" t="n">
        <v>55000</v>
      </c>
      <c r="F148" s="4" t="s">
        <v>350</v>
      </c>
      <c r="G148" s="16" t="s">
        <v>57</v>
      </c>
      <c r="H148" s="17"/>
      <c r="I148" s="17"/>
    </row>
    <row r="149" customFormat="false" ht="15" hidden="false" customHeight="false" outlineLevel="0" collapsed="false">
      <c r="A149" s="4" t="s">
        <v>14</v>
      </c>
      <c r="B149" s="5" t="s">
        <v>13</v>
      </c>
      <c r="C149" s="5" t="s">
        <v>243</v>
      </c>
      <c r="D149" s="4" t="s">
        <v>351</v>
      </c>
      <c r="E149" s="15" t="n">
        <v>39600</v>
      </c>
      <c r="F149" s="4" t="s">
        <v>352</v>
      </c>
      <c r="G149" s="16" t="s">
        <v>57</v>
      </c>
      <c r="H149" s="17"/>
      <c r="I149" s="17"/>
    </row>
    <row r="150" customFormat="false" ht="15" hidden="false" customHeight="false" outlineLevel="0" collapsed="false">
      <c r="A150" s="4" t="s">
        <v>14</v>
      </c>
      <c r="B150" s="5" t="s">
        <v>13</v>
      </c>
      <c r="C150" s="5" t="s">
        <v>243</v>
      </c>
      <c r="D150" s="4" t="s">
        <v>353</v>
      </c>
      <c r="E150" s="15" t="n">
        <v>37400</v>
      </c>
      <c r="F150" s="4" t="s">
        <v>354</v>
      </c>
      <c r="G150" s="16" t="s">
        <v>57</v>
      </c>
      <c r="H150" s="17"/>
      <c r="I150" s="17"/>
    </row>
    <row r="151" customFormat="false" ht="15" hidden="false" customHeight="false" outlineLevel="0" collapsed="false">
      <c r="A151" s="4" t="s">
        <v>14</v>
      </c>
      <c r="B151" s="5" t="s">
        <v>13</v>
      </c>
      <c r="C151" s="5" t="s">
        <v>243</v>
      </c>
      <c r="D151" s="4" t="s">
        <v>355</v>
      </c>
      <c r="E151" s="15" t="n">
        <v>39600</v>
      </c>
      <c r="F151" s="4" t="s">
        <v>356</v>
      </c>
      <c r="G151" s="16" t="s">
        <v>57</v>
      </c>
      <c r="H151" s="17"/>
      <c r="I151" s="17"/>
    </row>
    <row r="152" customFormat="false" ht="15" hidden="false" customHeight="false" outlineLevel="0" collapsed="false">
      <c r="A152" s="4" t="s">
        <v>14</v>
      </c>
      <c r="B152" s="5" t="s">
        <v>13</v>
      </c>
      <c r="C152" s="5" t="s">
        <v>243</v>
      </c>
      <c r="D152" s="4" t="s">
        <v>357</v>
      </c>
      <c r="E152" s="15" t="n">
        <v>29700</v>
      </c>
      <c r="F152" s="4" t="s">
        <v>358</v>
      </c>
      <c r="G152" s="16" t="s">
        <v>57</v>
      </c>
      <c r="H152" s="17"/>
      <c r="I152" s="17"/>
    </row>
    <row r="153" customFormat="false" ht="15" hidden="false" customHeight="false" outlineLevel="0" collapsed="false">
      <c r="A153" s="4" t="s">
        <v>14</v>
      </c>
      <c r="B153" s="5" t="s">
        <v>13</v>
      </c>
      <c r="C153" s="5" t="s">
        <v>243</v>
      </c>
      <c r="D153" s="4" t="s">
        <v>359</v>
      </c>
      <c r="E153" s="15" t="n">
        <v>13200</v>
      </c>
      <c r="F153" s="4" t="s">
        <v>360</v>
      </c>
      <c r="G153" s="16" t="s">
        <v>57</v>
      </c>
      <c r="H153" s="17"/>
      <c r="I153" s="17"/>
    </row>
    <row r="154" customFormat="false" ht="15" hidden="false" customHeight="false" outlineLevel="0" collapsed="false">
      <c r="A154" s="4" t="s">
        <v>14</v>
      </c>
      <c r="B154" s="5" t="s">
        <v>13</v>
      </c>
      <c r="C154" s="5" t="s">
        <v>243</v>
      </c>
      <c r="D154" s="4" t="s">
        <v>361</v>
      </c>
      <c r="E154" s="15" t="n">
        <v>8800</v>
      </c>
      <c r="F154" s="4" t="s">
        <v>362</v>
      </c>
      <c r="G154" s="16" t="s">
        <v>57</v>
      </c>
      <c r="H154" s="17"/>
      <c r="I154" s="17"/>
    </row>
    <row r="155" customFormat="false" ht="15" hidden="false" customHeight="false" outlineLevel="0" collapsed="false">
      <c r="A155" s="4" t="s">
        <v>14</v>
      </c>
      <c r="B155" s="5" t="s">
        <v>13</v>
      </c>
      <c r="C155" s="5" t="s">
        <v>243</v>
      </c>
      <c r="D155" s="4" t="s">
        <v>363</v>
      </c>
      <c r="E155" s="15" t="n">
        <v>17600</v>
      </c>
      <c r="F155" s="4" t="s">
        <v>364</v>
      </c>
      <c r="G155" s="16" t="s">
        <v>57</v>
      </c>
      <c r="H155" s="17"/>
      <c r="I155" s="17"/>
    </row>
    <row r="156" customFormat="false" ht="15" hidden="false" customHeight="false" outlineLevel="0" collapsed="false">
      <c r="A156" s="4" t="s">
        <v>14</v>
      </c>
      <c r="B156" s="5" t="s">
        <v>13</v>
      </c>
      <c r="C156" s="5" t="s">
        <v>243</v>
      </c>
      <c r="D156" s="4" t="s">
        <v>365</v>
      </c>
      <c r="E156" s="15" t="n">
        <v>25300</v>
      </c>
      <c r="F156" s="4" t="s">
        <v>366</v>
      </c>
      <c r="G156" s="16" t="s">
        <v>57</v>
      </c>
      <c r="H156" s="17"/>
      <c r="I156" s="17"/>
    </row>
    <row r="157" customFormat="false" ht="15" hidden="false" customHeight="false" outlineLevel="0" collapsed="false">
      <c r="A157" s="4" t="s">
        <v>14</v>
      </c>
      <c r="B157" s="5" t="s">
        <v>13</v>
      </c>
      <c r="C157" s="5" t="s">
        <v>243</v>
      </c>
      <c r="D157" s="4" t="s">
        <v>367</v>
      </c>
      <c r="E157" s="15" t="n">
        <v>23100</v>
      </c>
      <c r="F157" s="4" t="s">
        <v>368</v>
      </c>
      <c r="G157" s="16" t="s">
        <v>57</v>
      </c>
      <c r="H157" s="17"/>
      <c r="I157" s="17"/>
    </row>
    <row r="158" customFormat="false" ht="15" hidden="false" customHeight="false" outlineLevel="0" collapsed="false">
      <c r="A158" s="4" t="s">
        <v>14</v>
      </c>
      <c r="B158" s="5" t="s">
        <v>13</v>
      </c>
      <c r="C158" s="5" t="s">
        <v>243</v>
      </c>
      <c r="D158" s="4" t="s">
        <v>369</v>
      </c>
      <c r="E158" s="15" t="n">
        <v>8800</v>
      </c>
      <c r="F158" s="4" t="s">
        <v>370</v>
      </c>
      <c r="G158" s="16" t="s">
        <v>57</v>
      </c>
      <c r="H158" s="17"/>
      <c r="I158" s="17"/>
    </row>
    <row r="159" customFormat="false" ht="15" hidden="false" customHeight="false" outlineLevel="0" collapsed="false">
      <c r="A159" s="4" t="s">
        <v>15</v>
      </c>
      <c r="B159" s="5" t="s">
        <v>53</v>
      </c>
      <c r="C159" s="5" t="s">
        <v>54</v>
      </c>
      <c r="D159" s="4" t="s">
        <v>371</v>
      </c>
      <c r="E159" s="15" t="n">
        <v>6600</v>
      </c>
      <c r="F159" s="4" t="s">
        <v>372</v>
      </c>
      <c r="G159" s="16" t="s">
        <v>57</v>
      </c>
      <c r="H159" s="17"/>
      <c r="I159" s="17"/>
    </row>
    <row r="160" customFormat="false" ht="15" hidden="false" customHeight="false" outlineLevel="0" collapsed="false">
      <c r="A160" s="4" t="s">
        <v>15</v>
      </c>
      <c r="B160" s="5" t="s">
        <v>53</v>
      </c>
      <c r="C160" s="5" t="s">
        <v>54</v>
      </c>
      <c r="D160" s="4" t="s">
        <v>373</v>
      </c>
      <c r="E160" s="15" t="n">
        <v>37400</v>
      </c>
      <c r="F160" s="4" t="s">
        <v>374</v>
      </c>
      <c r="G160" s="16" t="s">
        <v>57</v>
      </c>
      <c r="H160" s="17"/>
      <c r="I160" s="17"/>
    </row>
    <row r="161" customFormat="false" ht="15" hidden="false" customHeight="false" outlineLevel="0" collapsed="false">
      <c r="A161" s="4" t="s">
        <v>15</v>
      </c>
      <c r="B161" s="5" t="s">
        <v>53</v>
      </c>
      <c r="C161" s="5" t="s">
        <v>54</v>
      </c>
      <c r="D161" s="4" t="s">
        <v>375</v>
      </c>
      <c r="E161" s="15" t="n">
        <v>37400</v>
      </c>
      <c r="F161" s="4" t="s">
        <v>376</v>
      </c>
      <c r="G161" s="16" t="s">
        <v>57</v>
      </c>
      <c r="H161" s="17"/>
      <c r="I161" s="17"/>
    </row>
    <row r="162" customFormat="false" ht="15" hidden="false" customHeight="false" outlineLevel="0" collapsed="false">
      <c r="A162" s="4" t="s">
        <v>15</v>
      </c>
      <c r="B162" s="5" t="s">
        <v>53</v>
      </c>
      <c r="C162" s="5" t="s">
        <v>54</v>
      </c>
      <c r="D162" s="4" t="s">
        <v>377</v>
      </c>
      <c r="E162" s="15" t="n">
        <v>33000</v>
      </c>
      <c r="F162" s="4" t="s">
        <v>378</v>
      </c>
      <c r="G162" s="16" t="s">
        <v>57</v>
      </c>
      <c r="H162" s="17"/>
      <c r="I162" s="17"/>
    </row>
    <row r="163" customFormat="false" ht="15" hidden="false" customHeight="false" outlineLevel="0" collapsed="false">
      <c r="A163" s="4" t="s">
        <v>15</v>
      </c>
      <c r="B163" s="5" t="s">
        <v>53</v>
      </c>
      <c r="C163" s="5" t="s">
        <v>54</v>
      </c>
      <c r="D163" s="4" t="s">
        <v>379</v>
      </c>
      <c r="E163" s="15" t="n">
        <v>33000</v>
      </c>
      <c r="F163" s="4" t="s">
        <v>380</v>
      </c>
      <c r="G163" s="16" t="s">
        <v>57</v>
      </c>
      <c r="H163" s="17"/>
      <c r="I163" s="17"/>
    </row>
    <row r="164" customFormat="false" ht="15" hidden="false" customHeight="false" outlineLevel="0" collapsed="false">
      <c r="A164" s="4" t="s">
        <v>15</v>
      </c>
      <c r="B164" s="5" t="s">
        <v>53</v>
      </c>
      <c r="C164" s="5" t="s">
        <v>54</v>
      </c>
      <c r="D164" s="4" t="s">
        <v>381</v>
      </c>
      <c r="E164" s="15" t="n">
        <v>15400</v>
      </c>
      <c r="F164" s="4" t="s">
        <v>382</v>
      </c>
      <c r="G164" s="16" t="s">
        <v>57</v>
      </c>
      <c r="H164" s="17"/>
      <c r="I164" s="17"/>
    </row>
    <row r="165" customFormat="false" ht="15" hidden="false" customHeight="false" outlineLevel="0" collapsed="false">
      <c r="A165" s="4" t="s">
        <v>15</v>
      </c>
      <c r="B165" s="5" t="s">
        <v>53</v>
      </c>
      <c r="C165" s="5" t="s">
        <v>54</v>
      </c>
      <c r="D165" s="4" t="s">
        <v>383</v>
      </c>
      <c r="E165" s="15" t="n">
        <v>17600</v>
      </c>
      <c r="F165" s="4" t="s">
        <v>384</v>
      </c>
      <c r="G165" s="16" t="s">
        <v>57</v>
      </c>
      <c r="H165" s="17"/>
      <c r="I165" s="17"/>
    </row>
    <row r="166" customFormat="false" ht="15" hidden="false" customHeight="false" outlineLevel="0" collapsed="false">
      <c r="A166" s="4" t="s">
        <v>15</v>
      </c>
      <c r="B166" s="5" t="s">
        <v>53</v>
      </c>
      <c r="C166" s="5" t="s">
        <v>54</v>
      </c>
      <c r="D166" s="4" t="s">
        <v>385</v>
      </c>
      <c r="E166" s="15" t="n">
        <v>8250</v>
      </c>
      <c r="F166" s="4" t="s">
        <v>386</v>
      </c>
      <c r="G166" s="16" t="s">
        <v>57</v>
      </c>
      <c r="H166" s="17"/>
      <c r="I166" s="17"/>
    </row>
    <row r="167" customFormat="false" ht="15" hidden="false" customHeight="false" outlineLevel="0" collapsed="false">
      <c r="A167" s="4" t="s">
        <v>15</v>
      </c>
      <c r="B167" s="5" t="s">
        <v>53</v>
      </c>
      <c r="C167" s="5" t="s">
        <v>54</v>
      </c>
      <c r="D167" s="4" t="s">
        <v>387</v>
      </c>
      <c r="E167" s="15" t="n">
        <v>6050</v>
      </c>
      <c r="F167" s="4" t="s">
        <v>388</v>
      </c>
      <c r="G167" s="16" t="s">
        <v>57</v>
      </c>
      <c r="H167" s="17"/>
      <c r="I167" s="17"/>
    </row>
    <row r="168" customFormat="false" ht="15" hidden="false" customHeight="false" outlineLevel="0" collapsed="false">
      <c r="A168" s="4" t="s">
        <v>15</v>
      </c>
      <c r="B168" s="5" t="s">
        <v>53</v>
      </c>
      <c r="C168" s="5" t="s">
        <v>54</v>
      </c>
      <c r="D168" s="4" t="s">
        <v>389</v>
      </c>
      <c r="E168" s="15" t="n">
        <v>9350</v>
      </c>
      <c r="F168" s="4" t="s">
        <v>390</v>
      </c>
      <c r="G168" s="16" t="s">
        <v>57</v>
      </c>
      <c r="H168" s="17"/>
      <c r="I168" s="17"/>
    </row>
    <row r="169" customFormat="false" ht="15" hidden="false" customHeight="false" outlineLevel="0" collapsed="false">
      <c r="A169" s="4" t="s">
        <v>15</v>
      </c>
      <c r="B169" s="5" t="s">
        <v>53</v>
      </c>
      <c r="C169" s="5" t="s">
        <v>54</v>
      </c>
      <c r="D169" s="4" t="s">
        <v>391</v>
      </c>
      <c r="E169" s="15" t="n">
        <v>26400</v>
      </c>
      <c r="F169" s="4" t="s">
        <v>392</v>
      </c>
      <c r="G169" s="16" t="s">
        <v>57</v>
      </c>
      <c r="H169" s="17"/>
      <c r="I169" s="17"/>
    </row>
    <row r="170" customFormat="false" ht="15" hidden="false" customHeight="false" outlineLevel="0" collapsed="false">
      <c r="A170" s="4" t="s">
        <v>15</v>
      </c>
      <c r="B170" s="5" t="s">
        <v>53</v>
      </c>
      <c r="C170" s="5" t="s">
        <v>54</v>
      </c>
      <c r="D170" s="4" t="s">
        <v>393</v>
      </c>
      <c r="E170" s="15" t="n">
        <v>9350</v>
      </c>
      <c r="F170" s="4" t="s">
        <v>394</v>
      </c>
      <c r="G170" s="16" t="s">
        <v>57</v>
      </c>
      <c r="H170" s="17"/>
      <c r="I170" s="17"/>
    </row>
    <row r="171" customFormat="false" ht="15" hidden="false" customHeight="false" outlineLevel="0" collapsed="false">
      <c r="A171" s="4" t="s">
        <v>15</v>
      </c>
      <c r="B171" s="5" t="s">
        <v>53</v>
      </c>
      <c r="C171" s="5" t="s">
        <v>54</v>
      </c>
      <c r="D171" s="4" t="s">
        <v>395</v>
      </c>
      <c r="E171" s="15" t="n">
        <v>24200</v>
      </c>
      <c r="F171" s="4" t="s">
        <v>396</v>
      </c>
      <c r="G171" s="16" t="s">
        <v>57</v>
      </c>
      <c r="H171" s="17"/>
      <c r="I171" s="17"/>
    </row>
    <row r="172" customFormat="false" ht="15" hidden="false" customHeight="false" outlineLevel="0" collapsed="false">
      <c r="A172" s="4" t="s">
        <v>15</v>
      </c>
      <c r="B172" s="5" t="s">
        <v>53</v>
      </c>
      <c r="C172" s="5" t="s">
        <v>54</v>
      </c>
      <c r="D172" s="4" t="s">
        <v>397</v>
      </c>
      <c r="E172" s="15" t="n">
        <v>24200</v>
      </c>
      <c r="F172" s="4" t="s">
        <v>398</v>
      </c>
      <c r="G172" s="16" t="s">
        <v>57</v>
      </c>
      <c r="H172" s="17"/>
      <c r="I172" s="17"/>
    </row>
    <row r="173" customFormat="false" ht="15" hidden="false" customHeight="false" outlineLevel="0" collapsed="false">
      <c r="A173" s="4" t="s">
        <v>15</v>
      </c>
      <c r="B173" s="5" t="s">
        <v>53</v>
      </c>
      <c r="C173" s="5" t="s">
        <v>54</v>
      </c>
      <c r="D173" s="4" t="s">
        <v>399</v>
      </c>
      <c r="E173" s="15" t="n">
        <v>18700</v>
      </c>
      <c r="F173" s="4" t="s">
        <v>400</v>
      </c>
      <c r="G173" s="16" t="s">
        <v>57</v>
      </c>
      <c r="H173" s="17"/>
      <c r="I173" s="17"/>
    </row>
    <row r="174" customFormat="false" ht="15" hidden="false" customHeight="false" outlineLevel="0" collapsed="false">
      <c r="A174" s="4" t="s">
        <v>15</v>
      </c>
      <c r="B174" s="5" t="s">
        <v>53</v>
      </c>
      <c r="C174" s="5" t="s">
        <v>54</v>
      </c>
      <c r="D174" s="4" t="s">
        <v>401</v>
      </c>
      <c r="E174" s="15" t="n">
        <v>18700</v>
      </c>
      <c r="F174" s="4" t="s">
        <v>402</v>
      </c>
      <c r="G174" s="16" t="s">
        <v>57</v>
      </c>
      <c r="H174" s="17"/>
      <c r="I174" s="17"/>
    </row>
    <row r="175" customFormat="false" ht="15" hidden="false" customHeight="false" outlineLevel="0" collapsed="false">
      <c r="A175" s="4" t="s">
        <v>15</v>
      </c>
      <c r="B175" s="5" t="s">
        <v>53</v>
      </c>
      <c r="C175" s="5" t="s">
        <v>54</v>
      </c>
      <c r="D175" s="4" t="s">
        <v>403</v>
      </c>
      <c r="E175" s="15" t="n">
        <v>18700</v>
      </c>
      <c r="F175" s="4" t="s">
        <v>404</v>
      </c>
      <c r="G175" s="16" t="s">
        <v>57</v>
      </c>
      <c r="H175" s="17"/>
      <c r="I175" s="17"/>
    </row>
    <row r="176" customFormat="false" ht="15" hidden="false" customHeight="false" outlineLevel="0" collapsed="false">
      <c r="A176" s="4" t="s">
        <v>15</v>
      </c>
      <c r="B176" s="5" t="s">
        <v>53</v>
      </c>
      <c r="C176" s="5" t="s">
        <v>54</v>
      </c>
      <c r="D176" s="4" t="s">
        <v>405</v>
      </c>
      <c r="E176" s="15" t="n">
        <v>7700</v>
      </c>
      <c r="F176" s="4" t="s">
        <v>406</v>
      </c>
      <c r="G176" s="16" t="s">
        <v>57</v>
      </c>
      <c r="H176" s="17"/>
      <c r="I176" s="17"/>
    </row>
    <row r="177" customFormat="false" ht="15" hidden="false" customHeight="false" outlineLevel="0" collapsed="false">
      <c r="A177" s="4" t="s">
        <v>15</v>
      </c>
      <c r="B177" s="5" t="s">
        <v>124</v>
      </c>
      <c r="C177" s="5" t="s">
        <v>54</v>
      </c>
      <c r="D177" s="4" t="s">
        <v>407</v>
      </c>
      <c r="E177" s="15" t="n">
        <v>9900</v>
      </c>
      <c r="F177" s="4" t="s">
        <v>408</v>
      </c>
      <c r="G177" s="16" t="s">
        <v>57</v>
      </c>
      <c r="H177" s="17"/>
      <c r="I177" s="17"/>
    </row>
    <row r="178" customFormat="false" ht="15" hidden="false" customHeight="false" outlineLevel="0" collapsed="false">
      <c r="A178" s="4" t="s">
        <v>15</v>
      </c>
      <c r="B178" s="5" t="s">
        <v>124</v>
      </c>
      <c r="C178" s="5" t="s">
        <v>54</v>
      </c>
      <c r="D178" s="4" t="s">
        <v>409</v>
      </c>
      <c r="E178" s="15" t="n">
        <v>26400</v>
      </c>
      <c r="F178" s="4" t="s">
        <v>410</v>
      </c>
      <c r="G178" s="16" t="s">
        <v>57</v>
      </c>
      <c r="H178" s="17"/>
      <c r="I178" s="17"/>
    </row>
    <row r="179" customFormat="false" ht="15" hidden="false" customHeight="false" outlineLevel="0" collapsed="false">
      <c r="A179" s="4" t="s">
        <v>15</v>
      </c>
      <c r="B179" s="5" t="s">
        <v>124</v>
      </c>
      <c r="C179" s="5" t="s">
        <v>54</v>
      </c>
      <c r="D179" s="4" t="s">
        <v>411</v>
      </c>
      <c r="E179" s="15" t="n">
        <v>26400</v>
      </c>
      <c r="F179" s="4" t="s">
        <v>412</v>
      </c>
      <c r="G179" s="16" t="s">
        <v>57</v>
      </c>
      <c r="H179" s="17"/>
      <c r="I179" s="17"/>
    </row>
    <row r="180" customFormat="false" ht="15" hidden="false" customHeight="false" outlineLevel="0" collapsed="false">
      <c r="A180" s="4" t="s">
        <v>15</v>
      </c>
      <c r="B180" s="5" t="s">
        <v>124</v>
      </c>
      <c r="C180" s="5" t="s">
        <v>54</v>
      </c>
      <c r="D180" s="4" t="s">
        <v>413</v>
      </c>
      <c r="E180" s="15" t="n">
        <v>8250</v>
      </c>
      <c r="F180" s="4" t="s">
        <v>414</v>
      </c>
      <c r="G180" s="16" t="s">
        <v>57</v>
      </c>
      <c r="H180" s="17"/>
      <c r="I180" s="17"/>
    </row>
    <row r="181" customFormat="false" ht="15" hidden="false" customHeight="false" outlineLevel="0" collapsed="false">
      <c r="A181" s="4" t="s">
        <v>15</v>
      </c>
      <c r="B181" s="5" t="s">
        <v>124</v>
      </c>
      <c r="C181" s="5" t="s">
        <v>54</v>
      </c>
      <c r="D181" s="4" t="s">
        <v>415</v>
      </c>
      <c r="E181" s="15" t="n">
        <v>26400</v>
      </c>
      <c r="F181" s="4" t="s">
        <v>416</v>
      </c>
      <c r="G181" s="16" t="s">
        <v>57</v>
      </c>
      <c r="H181" s="17"/>
      <c r="I181" s="17"/>
    </row>
    <row r="182" customFormat="false" ht="15" hidden="false" customHeight="false" outlineLevel="0" collapsed="false">
      <c r="A182" s="4" t="s">
        <v>15</v>
      </c>
      <c r="B182" s="5" t="s">
        <v>124</v>
      </c>
      <c r="C182" s="5" t="s">
        <v>54</v>
      </c>
      <c r="D182" s="4" t="s">
        <v>417</v>
      </c>
      <c r="E182" s="15" t="n">
        <v>26400</v>
      </c>
      <c r="F182" s="4" t="s">
        <v>418</v>
      </c>
      <c r="G182" s="16" t="s">
        <v>57</v>
      </c>
      <c r="H182" s="17"/>
      <c r="I182" s="17"/>
    </row>
    <row r="183" customFormat="false" ht="15" hidden="false" customHeight="false" outlineLevel="0" collapsed="false">
      <c r="A183" s="4" t="s">
        <v>15</v>
      </c>
      <c r="B183" s="5" t="s">
        <v>124</v>
      </c>
      <c r="C183" s="5" t="s">
        <v>54</v>
      </c>
      <c r="D183" s="4" t="s">
        <v>419</v>
      </c>
      <c r="E183" s="15" t="n">
        <v>28600</v>
      </c>
      <c r="F183" s="4" t="s">
        <v>420</v>
      </c>
      <c r="G183" s="16" t="s">
        <v>57</v>
      </c>
      <c r="H183" s="17"/>
      <c r="I183" s="17"/>
    </row>
    <row r="184" customFormat="false" ht="15" hidden="false" customHeight="false" outlineLevel="0" collapsed="false">
      <c r="A184" s="4" t="s">
        <v>15</v>
      </c>
      <c r="B184" s="5" t="s">
        <v>124</v>
      </c>
      <c r="C184" s="5" t="s">
        <v>54</v>
      </c>
      <c r="D184" s="4" t="s">
        <v>421</v>
      </c>
      <c r="E184" s="15" t="n">
        <v>28600</v>
      </c>
      <c r="F184" s="4" t="s">
        <v>422</v>
      </c>
      <c r="G184" s="16" t="s">
        <v>57</v>
      </c>
      <c r="H184" s="17"/>
      <c r="I184" s="17"/>
    </row>
    <row r="185" customFormat="false" ht="15" hidden="false" customHeight="false" outlineLevel="0" collapsed="false">
      <c r="A185" s="4" t="s">
        <v>15</v>
      </c>
      <c r="B185" s="5" t="s">
        <v>124</v>
      </c>
      <c r="C185" s="5" t="s">
        <v>54</v>
      </c>
      <c r="D185" s="4" t="s">
        <v>423</v>
      </c>
      <c r="E185" s="15" t="n">
        <v>8250</v>
      </c>
      <c r="F185" s="4" t="s">
        <v>424</v>
      </c>
      <c r="G185" s="16" t="s">
        <v>57</v>
      </c>
      <c r="H185" s="17"/>
      <c r="I185" s="17"/>
    </row>
    <row r="186" customFormat="false" ht="15" hidden="false" customHeight="false" outlineLevel="0" collapsed="false">
      <c r="A186" s="4" t="s">
        <v>15</v>
      </c>
      <c r="B186" s="5" t="s">
        <v>124</v>
      </c>
      <c r="C186" s="5" t="s">
        <v>54</v>
      </c>
      <c r="D186" s="4" t="s">
        <v>425</v>
      </c>
      <c r="E186" s="15" t="n">
        <v>12100</v>
      </c>
      <c r="F186" s="4" t="s">
        <v>426</v>
      </c>
      <c r="G186" s="16" t="s">
        <v>57</v>
      </c>
      <c r="H186" s="17"/>
      <c r="I186" s="17"/>
    </row>
    <row r="187" customFormat="false" ht="15" hidden="false" customHeight="false" outlineLevel="0" collapsed="false">
      <c r="A187" s="4" t="s">
        <v>15</v>
      </c>
      <c r="B187" s="5" t="s">
        <v>124</v>
      </c>
      <c r="C187" s="5" t="s">
        <v>54</v>
      </c>
      <c r="D187" s="4" t="s">
        <v>427</v>
      </c>
      <c r="E187" s="15" t="n">
        <v>53900</v>
      </c>
      <c r="F187" s="4" t="s">
        <v>428</v>
      </c>
      <c r="G187" s="16" t="s">
        <v>57</v>
      </c>
      <c r="H187" s="17"/>
      <c r="I187" s="17"/>
    </row>
    <row r="188" customFormat="false" ht="15" hidden="false" customHeight="false" outlineLevel="0" collapsed="false">
      <c r="A188" s="4" t="s">
        <v>15</v>
      </c>
      <c r="B188" s="5" t="s">
        <v>124</v>
      </c>
      <c r="C188" s="5" t="s">
        <v>54</v>
      </c>
      <c r="D188" s="4" t="s">
        <v>429</v>
      </c>
      <c r="E188" s="15" t="n">
        <v>53900</v>
      </c>
      <c r="F188" s="4" t="s">
        <v>430</v>
      </c>
      <c r="G188" s="16" t="s">
        <v>57</v>
      </c>
      <c r="H188" s="17"/>
      <c r="I188" s="17"/>
    </row>
    <row r="189" customFormat="false" ht="15" hidden="false" customHeight="false" outlineLevel="0" collapsed="false">
      <c r="A189" s="4" t="s">
        <v>15</v>
      </c>
      <c r="B189" s="5" t="s">
        <v>124</v>
      </c>
      <c r="C189" s="5" t="s">
        <v>54</v>
      </c>
      <c r="D189" s="4" t="s">
        <v>431</v>
      </c>
      <c r="E189" s="15" t="n">
        <v>30800</v>
      </c>
      <c r="F189" s="4" t="s">
        <v>432</v>
      </c>
      <c r="G189" s="16" t="s">
        <v>57</v>
      </c>
      <c r="H189" s="17"/>
      <c r="I189" s="17"/>
    </row>
    <row r="190" customFormat="false" ht="15" hidden="false" customHeight="false" outlineLevel="0" collapsed="false">
      <c r="A190" s="4" t="s">
        <v>15</v>
      </c>
      <c r="B190" s="5" t="s">
        <v>124</v>
      </c>
      <c r="C190" s="5" t="s">
        <v>54</v>
      </c>
      <c r="D190" s="4" t="s">
        <v>433</v>
      </c>
      <c r="E190" s="15" t="n">
        <v>30800</v>
      </c>
      <c r="F190" s="4" t="s">
        <v>434</v>
      </c>
      <c r="G190" s="16" t="s">
        <v>57</v>
      </c>
      <c r="H190" s="17"/>
      <c r="I190" s="17"/>
    </row>
    <row r="191" customFormat="false" ht="15" hidden="false" customHeight="false" outlineLevel="0" collapsed="false">
      <c r="A191" s="4" t="s">
        <v>15</v>
      </c>
      <c r="B191" s="5" t="s">
        <v>124</v>
      </c>
      <c r="C191" s="5" t="s">
        <v>54</v>
      </c>
      <c r="D191" s="4" t="s">
        <v>435</v>
      </c>
      <c r="E191" s="15" t="n">
        <v>9900</v>
      </c>
      <c r="F191" s="4" t="s">
        <v>436</v>
      </c>
      <c r="G191" s="16" t="s">
        <v>57</v>
      </c>
      <c r="H191" s="17"/>
      <c r="I191" s="17"/>
    </row>
    <row r="192" customFormat="false" ht="15" hidden="false" customHeight="false" outlineLevel="0" collapsed="false">
      <c r="A192" s="4" t="s">
        <v>15</v>
      </c>
      <c r="B192" s="5" t="s">
        <v>124</v>
      </c>
      <c r="C192" s="5" t="s">
        <v>54</v>
      </c>
      <c r="D192" s="4" t="s">
        <v>437</v>
      </c>
      <c r="E192" s="15" t="n">
        <v>40700</v>
      </c>
      <c r="F192" s="4" t="s">
        <v>438</v>
      </c>
      <c r="G192" s="16" t="s">
        <v>57</v>
      </c>
      <c r="H192" s="17"/>
      <c r="I192" s="17"/>
    </row>
    <row r="193" customFormat="false" ht="15" hidden="false" customHeight="false" outlineLevel="0" collapsed="false">
      <c r="A193" s="4" t="s">
        <v>15</v>
      </c>
      <c r="B193" s="5" t="s">
        <v>124</v>
      </c>
      <c r="C193" s="5" t="s">
        <v>54</v>
      </c>
      <c r="D193" s="4" t="s">
        <v>439</v>
      </c>
      <c r="E193" s="15" t="n">
        <v>40700</v>
      </c>
      <c r="F193" s="4" t="s">
        <v>440</v>
      </c>
      <c r="G193" s="16" t="s">
        <v>57</v>
      </c>
      <c r="H193" s="17"/>
      <c r="I193" s="17"/>
    </row>
    <row r="194" customFormat="false" ht="15" hidden="false" customHeight="false" outlineLevel="0" collapsed="false">
      <c r="A194" s="4" t="s">
        <v>15</v>
      </c>
      <c r="B194" s="5" t="s">
        <v>124</v>
      </c>
      <c r="C194" s="5" t="s">
        <v>54</v>
      </c>
      <c r="D194" s="4" t="s">
        <v>441</v>
      </c>
      <c r="E194" s="15" t="n">
        <v>9900</v>
      </c>
      <c r="F194" s="4" t="s">
        <v>442</v>
      </c>
      <c r="G194" s="16" t="s">
        <v>57</v>
      </c>
      <c r="H194" s="17"/>
      <c r="I194" s="17"/>
    </row>
    <row r="195" customFormat="false" ht="15" hidden="false" customHeight="false" outlineLevel="0" collapsed="false">
      <c r="A195" s="4" t="s">
        <v>15</v>
      </c>
      <c r="B195" s="5" t="s">
        <v>124</v>
      </c>
      <c r="C195" s="5" t="s">
        <v>54</v>
      </c>
      <c r="D195" s="4" t="s">
        <v>443</v>
      </c>
      <c r="E195" s="15" t="n">
        <v>9900</v>
      </c>
      <c r="F195" s="4" t="s">
        <v>444</v>
      </c>
      <c r="G195" s="16" t="s">
        <v>57</v>
      </c>
      <c r="H195" s="17"/>
      <c r="I195" s="17"/>
    </row>
    <row r="196" customFormat="false" ht="15" hidden="false" customHeight="false" outlineLevel="0" collapsed="false">
      <c r="A196" s="4" t="s">
        <v>15</v>
      </c>
      <c r="B196" s="5" t="s">
        <v>124</v>
      </c>
      <c r="C196" s="5" t="s">
        <v>54</v>
      </c>
      <c r="D196" s="4" t="s">
        <v>445</v>
      </c>
      <c r="E196" s="15" t="n">
        <v>8250</v>
      </c>
      <c r="F196" s="4" t="s">
        <v>446</v>
      </c>
      <c r="G196" s="16" t="s">
        <v>57</v>
      </c>
      <c r="H196" s="17"/>
      <c r="I196" s="17"/>
    </row>
    <row r="197" customFormat="false" ht="15" hidden="false" customHeight="false" outlineLevel="0" collapsed="false">
      <c r="A197" s="4" t="s">
        <v>15</v>
      </c>
      <c r="B197" s="5" t="s">
        <v>124</v>
      </c>
      <c r="C197" s="5" t="s">
        <v>54</v>
      </c>
      <c r="D197" s="4" t="s">
        <v>447</v>
      </c>
      <c r="E197" s="15" t="n">
        <v>14850</v>
      </c>
      <c r="F197" s="4" t="s">
        <v>448</v>
      </c>
      <c r="G197" s="16" t="s">
        <v>57</v>
      </c>
      <c r="H197" s="17"/>
      <c r="I197" s="17"/>
    </row>
    <row r="198" customFormat="false" ht="15" hidden="false" customHeight="false" outlineLevel="0" collapsed="false">
      <c r="A198" s="4" t="s">
        <v>15</v>
      </c>
      <c r="B198" s="5" t="s">
        <v>124</v>
      </c>
      <c r="C198" s="5" t="s">
        <v>54</v>
      </c>
      <c r="D198" s="4" t="s">
        <v>449</v>
      </c>
      <c r="E198" s="15" t="n">
        <v>8250</v>
      </c>
      <c r="F198" s="4" t="s">
        <v>450</v>
      </c>
      <c r="G198" s="16" t="s">
        <v>57</v>
      </c>
      <c r="H198" s="17"/>
      <c r="I198" s="17"/>
    </row>
    <row r="199" customFormat="false" ht="15" hidden="false" customHeight="false" outlineLevel="0" collapsed="false">
      <c r="A199" s="4" t="s">
        <v>15</v>
      </c>
      <c r="B199" s="5" t="s">
        <v>124</v>
      </c>
      <c r="C199" s="5" t="s">
        <v>54</v>
      </c>
      <c r="D199" s="4" t="s">
        <v>451</v>
      </c>
      <c r="E199" s="15" t="n">
        <v>9900</v>
      </c>
      <c r="F199" s="4" t="s">
        <v>452</v>
      </c>
      <c r="G199" s="16" t="s">
        <v>57</v>
      </c>
      <c r="H199" s="17"/>
      <c r="I199" s="17"/>
    </row>
    <row r="200" customFormat="false" ht="15" hidden="false" customHeight="false" outlineLevel="0" collapsed="false">
      <c r="A200" s="4" t="s">
        <v>15</v>
      </c>
      <c r="B200" s="5" t="s">
        <v>124</v>
      </c>
      <c r="C200" s="5" t="s">
        <v>54</v>
      </c>
      <c r="D200" s="4" t="s">
        <v>453</v>
      </c>
      <c r="E200" s="15" t="n">
        <v>8250</v>
      </c>
      <c r="F200" s="4" t="s">
        <v>454</v>
      </c>
      <c r="G200" s="16" t="s">
        <v>57</v>
      </c>
      <c r="H200" s="17"/>
      <c r="I200" s="17"/>
    </row>
    <row r="201" customFormat="false" ht="15" hidden="false" customHeight="false" outlineLevel="0" collapsed="false">
      <c r="A201" s="4" t="s">
        <v>15</v>
      </c>
      <c r="B201" s="5" t="s">
        <v>124</v>
      </c>
      <c r="C201" s="5" t="s">
        <v>54</v>
      </c>
      <c r="D201" s="4" t="s">
        <v>455</v>
      </c>
      <c r="E201" s="15" t="n">
        <v>10450</v>
      </c>
      <c r="F201" s="4" t="s">
        <v>456</v>
      </c>
      <c r="G201" s="16" t="s">
        <v>57</v>
      </c>
      <c r="H201" s="17"/>
      <c r="I201" s="17"/>
    </row>
    <row r="202" customFormat="false" ht="15" hidden="false" customHeight="false" outlineLevel="0" collapsed="false">
      <c r="A202" s="4" t="s">
        <v>15</v>
      </c>
      <c r="B202" s="5" t="s">
        <v>124</v>
      </c>
      <c r="C202" s="5" t="s">
        <v>54</v>
      </c>
      <c r="D202" s="4" t="s">
        <v>457</v>
      </c>
      <c r="E202" s="15" t="n">
        <v>8250</v>
      </c>
      <c r="F202" s="4" t="s">
        <v>458</v>
      </c>
      <c r="G202" s="16" t="s">
        <v>57</v>
      </c>
      <c r="H202" s="17"/>
      <c r="I202" s="17"/>
    </row>
    <row r="203" customFormat="false" ht="15" hidden="false" customHeight="false" outlineLevel="0" collapsed="false">
      <c r="A203" s="4" t="s">
        <v>15</v>
      </c>
      <c r="B203" s="5" t="s">
        <v>124</v>
      </c>
      <c r="C203" s="5" t="s">
        <v>54</v>
      </c>
      <c r="D203" s="4" t="s">
        <v>459</v>
      </c>
      <c r="E203" s="15" t="n">
        <v>9350</v>
      </c>
      <c r="F203" s="4" t="s">
        <v>460</v>
      </c>
      <c r="G203" s="16" t="s">
        <v>57</v>
      </c>
      <c r="H203" s="17"/>
      <c r="I203" s="17"/>
    </row>
    <row r="204" customFormat="false" ht="15" hidden="false" customHeight="false" outlineLevel="0" collapsed="false">
      <c r="A204" s="4" t="s">
        <v>15</v>
      </c>
      <c r="B204" s="5" t="s">
        <v>124</v>
      </c>
      <c r="C204" s="5" t="s">
        <v>54</v>
      </c>
      <c r="D204" s="4" t="s">
        <v>461</v>
      </c>
      <c r="E204" s="15" t="n">
        <v>6050</v>
      </c>
      <c r="F204" s="4" t="s">
        <v>462</v>
      </c>
      <c r="G204" s="16" t="s">
        <v>57</v>
      </c>
      <c r="H204" s="17"/>
      <c r="I204" s="17"/>
    </row>
    <row r="205" customFormat="false" ht="15" hidden="false" customHeight="false" outlineLevel="0" collapsed="false">
      <c r="A205" s="4" t="s">
        <v>15</v>
      </c>
      <c r="B205" s="5" t="s">
        <v>124</v>
      </c>
      <c r="C205" s="5" t="s">
        <v>54</v>
      </c>
      <c r="D205" s="4" t="s">
        <v>463</v>
      </c>
      <c r="E205" s="15" t="n">
        <v>8250</v>
      </c>
      <c r="F205" s="4" t="s">
        <v>464</v>
      </c>
      <c r="G205" s="16" t="s">
        <v>57</v>
      </c>
      <c r="H205" s="17"/>
      <c r="I205" s="17"/>
    </row>
    <row r="206" customFormat="false" ht="15" hidden="false" customHeight="false" outlineLevel="0" collapsed="false">
      <c r="A206" s="4" t="s">
        <v>15</v>
      </c>
      <c r="B206" s="5" t="s">
        <v>124</v>
      </c>
      <c r="C206" s="5" t="s">
        <v>54</v>
      </c>
      <c r="D206" s="4" t="s">
        <v>465</v>
      </c>
      <c r="E206" s="15" t="n">
        <v>16500</v>
      </c>
      <c r="F206" s="4" t="s">
        <v>466</v>
      </c>
      <c r="G206" s="16" t="s">
        <v>57</v>
      </c>
      <c r="H206" s="17"/>
      <c r="I206" s="17"/>
    </row>
    <row r="207" customFormat="false" ht="15" hidden="false" customHeight="false" outlineLevel="0" collapsed="false">
      <c r="A207" s="4" t="s">
        <v>15</v>
      </c>
      <c r="B207" s="5" t="s">
        <v>124</v>
      </c>
      <c r="C207" s="5" t="s">
        <v>54</v>
      </c>
      <c r="D207" s="4" t="s">
        <v>467</v>
      </c>
      <c r="E207" s="15" t="n">
        <v>16500</v>
      </c>
      <c r="F207" s="4" t="s">
        <v>468</v>
      </c>
      <c r="G207" s="16" t="s">
        <v>57</v>
      </c>
      <c r="H207" s="17"/>
      <c r="I207" s="17"/>
    </row>
    <row r="208" customFormat="false" ht="15" hidden="false" customHeight="false" outlineLevel="0" collapsed="false">
      <c r="A208" s="4" t="s">
        <v>15</v>
      </c>
      <c r="B208" s="5" t="s">
        <v>124</v>
      </c>
      <c r="C208" s="5" t="s">
        <v>54</v>
      </c>
      <c r="D208" s="4" t="s">
        <v>469</v>
      </c>
      <c r="E208" s="15" t="n">
        <v>27500</v>
      </c>
      <c r="F208" s="4" t="s">
        <v>470</v>
      </c>
      <c r="G208" s="16" t="s">
        <v>57</v>
      </c>
      <c r="H208" s="17"/>
      <c r="I208" s="17"/>
    </row>
    <row r="209" customFormat="false" ht="15" hidden="false" customHeight="false" outlineLevel="0" collapsed="false">
      <c r="A209" s="4" t="s">
        <v>15</v>
      </c>
      <c r="B209" s="5" t="s">
        <v>124</v>
      </c>
      <c r="C209" s="5" t="s">
        <v>54</v>
      </c>
      <c r="D209" s="4" t="s">
        <v>471</v>
      </c>
      <c r="E209" s="15" t="n">
        <v>8250</v>
      </c>
      <c r="F209" s="4" t="s">
        <v>472</v>
      </c>
      <c r="G209" s="16" t="s">
        <v>57</v>
      </c>
      <c r="H209" s="17"/>
      <c r="I209" s="17"/>
    </row>
    <row r="210" customFormat="false" ht="15" hidden="false" customHeight="false" outlineLevel="0" collapsed="false">
      <c r="A210" s="4" t="s">
        <v>15</v>
      </c>
      <c r="B210" s="5" t="s">
        <v>124</v>
      </c>
      <c r="C210" s="5" t="s">
        <v>54</v>
      </c>
      <c r="D210" s="4" t="s">
        <v>473</v>
      </c>
      <c r="E210" s="15" t="n">
        <v>9900</v>
      </c>
      <c r="F210" s="4" t="s">
        <v>474</v>
      </c>
      <c r="G210" s="16" t="s">
        <v>57</v>
      </c>
      <c r="H210" s="17"/>
      <c r="I210" s="17"/>
    </row>
    <row r="211" customFormat="false" ht="15" hidden="false" customHeight="false" outlineLevel="0" collapsed="false">
      <c r="A211" s="4" t="s">
        <v>15</v>
      </c>
      <c r="B211" s="5" t="s">
        <v>124</v>
      </c>
      <c r="C211" s="5" t="s">
        <v>54</v>
      </c>
      <c r="D211" s="4" t="s">
        <v>475</v>
      </c>
      <c r="E211" s="15" t="n">
        <v>40700</v>
      </c>
      <c r="F211" s="4" t="s">
        <v>476</v>
      </c>
      <c r="G211" s="16" t="s">
        <v>57</v>
      </c>
      <c r="H211" s="17"/>
      <c r="I211" s="17"/>
    </row>
    <row r="212" customFormat="false" ht="15" hidden="false" customHeight="false" outlineLevel="0" collapsed="false">
      <c r="A212" s="4" t="s">
        <v>15</v>
      </c>
      <c r="B212" s="5" t="s">
        <v>124</v>
      </c>
      <c r="C212" s="5" t="s">
        <v>54</v>
      </c>
      <c r="D212" s="4" t="s">
        <v>477</v>
      </c>
      <c r="E212" s="15" t="n">
        <v>17600</v>
      </c>
      <c r="F212" s="4" t="s">
        <v>478</v>
      </c>
      <c r="G212" s="16" t="s">
        <v>57</v>
      </c>
      <c r="H212" s="17"/>
      <c r="I212" s="17"/>
    </row>
    <row r="213" customFormat="false" ht="15" hidden="false" customHeight="false" outlineLevel="0" collapsed="false">
      <c r="A213" s="4" t="s">
        <v>15</v>
      </c>
      <c r="B213" s="5" t="s">
        <v>124</v>
      </c>
      <c r="C213" s="5" t="s">
        <v>54</v>
      </c>
      <c r="D213" s="4" t="s">
        <v>479</v>
      </c>
      <c r="E213" s="15" t="n">
        <v>17600</v>
      </c>
      <c r="F213" s="4" t="s">
        <v>480</v>
      </c>
      <c r="G213" s="16" t="s">
        <v>57</v>
      </c>
      <c r="H213" s="17"/>
      <c r="I213" s="17"/>
    </row>
    <row r="214" customFormat="false" ht="15" hidden="false" customHeight="false" outlineLevel="0" collapsed="false">
      <c r="A214" s="4" t="s">
        <v>15</v>
      </c>
      <c r="B214" s="5" t="s">
        <v>124</v>
      </c>
      <c r="C214" s="5" t="s">
        <v>54</v>
      </c>
      <c r="D214" s="4" t="s">
        <v>481</v>
      </c>
      <c r="E214" s="15" t="n">
        <v>19800</v>
      </c>
      <c r="F214" s="4" t="s">
        <v>482</v>
      </c>
      <c r="G214" s="16" t="s">
        <v>57</v>
      </c>
      <c r="H214" s="17"/>
      <c r="I214" s="17"/>
    </row>
    <row r="215" customFormat="false" ht="15" hidden="false" customHeight="false" outlineLevel="0" collapsed="false">
      <c r="A215" s="4" t="s">
        <v>15</v>
      </c>
      <c r="B215" s="5" t="s">
        <v>124</v>
      </c>
      <c r="C215" s="5" t="s">
        <v>54</v>
      </c>
      <c r="D215" s="4" t="s">
        <v>483</v>
      </c>
      <c r="E215" s="15" t="n">
        <v>19800</v>
      </c>
      <c r="F215" s="4" t="s">
        <v>484</v>
      </c>
      <c r="G215" s="16" t="s">
        <v>57</v>
      </c>
      <c r="H215" s="17"/>
      <c r="I215" s="17"/>
    </row>
    <row r="216" customFormat="false" ht="15" hidden="false" customHeight="false" outlineLevel="0" collapsed="false">
      <c r="A216" s="4" t="s">
        <v>15</v>
      </c>
      <c r="B216" s="5" t="s">
        <v>124</v>
      </c>
      <c r="C216" s="5" t="s">
        <v>54</v>
      </c>
      <c r="D216" s="4" t="s">
        <v>485</v>
      </c>
      <c r="E216" s="15" t="n">
        <v>8250</v>
      </c>
      <c r="F216" s="4" t="s">
        <v>486</v>
      </c>
      <c r="G216" s="16" t="s">
        <v>57</v>
      </c>
      <c r="H216" s="17"/>
      <c r="I216" s="17"/>
    </row>
    <row r="217" customFormat="false" ht="15" hidden="false" customHeight="false" outlineLevel="0" collapsed="false">
      <c r="A217" s="4" t="s">
        <v>15</v>
      </c>
      <c r="B217" s="5" t="s">
        <v>124</v>
      </c>
      <c r="C217" s="5" t="s">
        <v>54</v>
      </c>
      <c r="D217" s="4" t="s">
        <v>487</v>
      </c>
      <c r="E217" s="15" t="n">
        <v>25300</v>
      </c>
      <c r="F217" s="4" t="s">
        <v>488</v>
      </c>
      <c r="G217" s="16" t="s">
        <v>57</v>
      </c>
      <c r="H217" s="17"/>
      <c r="I217" s="17"/>
    </row>
    <row r="218" customFormat="false" ht="15" hidden="false" customHeight="false" outlineLevel="0" collapsed="false">
      <c r="A218" s="4" t="s">
        <v>15</v>
      </c>
      <c r="B218" s="5" t="s">
        <v>124</v>
      </c>
      <c r="C218" s="5" t="s">
        <v>54</v>
      </c>
      <c r="D218" s="4" t="s">
        <v>489</v>
      </c>
      <c r="E218" s="15" t="n">
        <v>33000</v>
      </c>
      <c r="F218" s="4" t="s">
        <v>490</v>
      </c>
      <c r="G218" s="16" t="s">
        <v>57</v>
      </c>
      <c r="H218" s="17"/>
      <c r="I218" s="17"/>
    </row>
    <row r="219" customFormat="false" ht="15" hidden="false" customHeight="false" outlineLevel="0" collapsed="false">
      <c r="A219" s="4" t="s">
        <v>15</v>
      </c>
      <c r="B219" s="5" t="s">
        <v>124</v>
      </c>
      <c r="C219" s="5" t="s">
        <v>54</v>
      </c>
      <c r="D219" s="4" t="s">
        <v>491</v>
      </c>
      <c r="E219" s="15" t="n">
        <v>33000</v>
      </c>
      <c r="F219" s="4" t="s">
        <v>492</v>
      </c>
      <c r="G219" s="16" t="s">
        <v>57</v>
      </c>
      <c r="H219" s="17"/>
      <c r="I219" s="17"/>
    </row>
    <row r="220" customFormat="false" ht="15" hidden="false" customHeight="false" outlineLevel="0" collapsed="false">
      <c r="A220" s="4" t="s">
        <v>15</v>
      </c>
      <c r="B220" s="5" t="s">
        <v>124</v>
      </c>
      <c r="C220" s="5" t="s">
        <v>54</v>
      </c>
      <c r="D220" s="4" t="s">
        <v>493</v>
      </c>
      <c r="E220" s="15" t="n">
        <v>25300</v>
      </c>
      <c r="F220" s="4" t="s">
        <v>494</v>
      </c>
      <c r="G220" s="16" t="s">
        <v>57</v>
      </c>
      <c r="H220" s="17"/>
      <c r="I220" s="17"/>
    </row>
    <row r="221" customFormat="false" ht="15" hidden="false" customHeight="false" outlineLevel="0" collapsed="false">
      <c r="A221" s="4" t="s">
        <v>15</v>
      </c>
      <c r="B221" s="5" t="s">
        <v>124</v>
      </c>
      <c r="C221" s="5" t="s">
        <v>54</v>
      </c>
      <c r="D221" s="4" t="s">
        <v>495</v>
      </c>
      <c r="E221" s="15" t="n">
        <v>17600</v>
      </c>
      <c r="F221" s="4" t="s">
        <v>496</v>
      </c>
      <c r="G221" s="16" t="s">
        <v>57</v>
      </c>
      <c r="H221" s="17"/>
      <c r="I221" s="17"/>
    </row>
    <row r="222" customFormat="false" ht="15" hidden="false" customHeight="false" outlineLevel="0" collapsed="false">
      <c r="A222" s="4" t="s">
        <v>15</v>
      </c>
      <c r="B222" s="5" t="s">
        <v>124</v>
      </c>
      <c r="C222" s="5" t="s">
        <v>54</v>
      </c>
      <c r="D222" s="4" t="s">
        <v>497</v>
      </c>
      <c r="E222" s="15" t="n">
        <v>18700</v>
      </c>
      <c r="F222" s="4" t="s">
        <v>498</v>
      </c>
      <c r="G222" s="16" t="s">
        <v>57</v>
      </c>
      <c r="H222" s="17"/>
      <c r="I222" s="17"/>
    </row>
    <row r="223" customFormat="false" ht="15" hidden="false" customHeight="false" outlineLevel="0" collapsed="false">
      <c r="A223" s="4" t="s">
        <v>15</v>
      </c>
      <c r="B223" s="5" t="s">
        <v>124</v>
      </c>
      <c r="C223" s="5" t="s">
        <v>54</v>
      </c>
      <c r="D223" s="4" t="s">
        <v>499</v>
      </c>
      <c r="E223" s="15" t="n">
        <v>17600</v>
      </c>
      <c r="F223" s="4" t="s">
        <v>500</v>
      </c>
      <c r="G223" s="16" t="s">
        <v>57</v>
      </c>
      <c r="H223" s="17"/>
      <c r="I223" s="17"/>
    </row>
    <row r="224" customFormat="false" ht="15" hidden="false" customHeight="false" outlineLevel="0" collapsed="false">
      <c r="A224" s="4" t="s">
        <v>15</v>
      </c>
      <c r="B224" s="5" t="s">
        <v>124</v>
      </c>
      <c r="C224" s="5" t="s">
        <v>54</v>
      </c>
      <c r="D224" s="4" t="s">
        <v>501</v>
      </c>
      <c r="E224" s="15" t="n">
        <v>20900</v>
      </c>
      <c r="F224" s="4" t="s">
        <v>502</v>
      </c>
      <c r="G224" s="16" t="s">
        <v>57</v>
      </c>
      <c r="H224" s="17"/>
      <c r="I224" s="17"/>
    </row>
    <row r="225" customFormat="false" ht="15" hidden="false" customHeight="false" outlineLevel="0" collapsed="false">
      <c r="A225" s="4" t="s">
        <v>15</v>
      </c>
      <c r="B225" s="5" t="s">
        <v>124</v>
      </c>
      <c r="C225" s="5" t="s">
        <v>54</v>
      </c>
      <c r="D225" s="4" t="s">
        <v>503</v>
      </c>
      <c r="E225" s="15" t="n">
        <v>20900</v>
      </c>
      <c r="F225" s="4" t="s">
        <v>504</v>
      </c>
      <c r="G225" s="16" t="s">
        <v>57</v>
      </c>
      <c r="H225" s="17"/>
      <c r="I225" s="17"/>
    </row>
    <row r="226" customFormat="false" ht="15" hidden="false" customHeight="false" outlineLevel="0" collapsed="false">
      <c r="A226" s="4" t="s">
        <v>15</v>
      </c>
      <c r="B226" s="5" t="s">
        <v>124</v>
      </c>
      <c r="C226" s="5" t="s">
        <v>54</v>
      </c>
      <c r="D226" s="4" t="s">
        <v>505</v>
      </c>
      <c r="E226" s="15" t="n">
        <v>6600</v>
      </c>
      <c r="F226" s="4" t="s">
        <v>506</v>
      </c>
      <c r="G226" s="16" t="s">
        <v>57</v>
      </c>
      <c r="H226" s="17"/>
      <c r="I226" s="17"/>
    </row>
    <row r="227" customFormat="false" ht="15" hidden="false" customHeight="false" outlineLevel="0" collapsed="false">
      <c r="A227" s="4" t="s">
        <v>15</v>
      </c>
      <c r="B227" s="5" t="s">
        <v>124</v>
      </c>
      <c r="C227" s="5" t="s">
        <v>54</v>
      </c>
      <c r="D227" s="4" t="s">
        <v>507</v>
      </c>
      <c r="E227" s="15" t="n">
        <v>7700</v>
      </c>
      <c r="F227" s="4" t="s">
        <v>508</v>
      </c>
      <c r="G227" s="16" t="s">
        <v>57</v>
      </c>
      <c r="H227" s="17"/>
      <c r="I227" s="17"/>
    </row>
    <row r="228" customFormat="false" ht="15" hidden="false" customHeight="false" outlineLevel="0" collapsed="false">
      <c r="A228" s="4" t="s">
        <v>15</v>
      </c>
      <c r="B228" s="5" t="s">
        <v>124</v>
      </c>
      <c r="C228" s="5" t="s">
        <v>54</v>
      </c>
      <c r="D228" s="4" t="s">
        <v>509</v>
      </c>
      <c r="E228" s="15" t="n">
        <v>37400</v>
      </c>
      <c r="F228" s="4" t="s">
        <v>510</v>
      </c>
      <c r="G228" s="16" t="s">
        <v>57</v>
      </c>
      <c r="H228" s="17"/>
      <c r="I228" s="17"/>
    </row>
    <row r="229" customFormat="false" ht="15" hidden="false" customHeight="false" outlineLevel="0" collapsed="false">
      <c r="A229" s="4" t="s">
        <v>15</v>
      </c>
      <c r="B229" s="5" t="s">
        <v>124</v>
      </c>
      <c r="C229" s="5" t="s">
        <v>54</v>
      </c>
      <c r="D229" s="4" t="s">
        <v>511</v>
      </c>
      <c r="E229" s="15" t="n">
        <v>37400</v>
      </c>
      <c r="F229" s="4" t="s">
        <v>512</v>
      </c>
      <c r="G229" s="16" t="s">
        <v>57</v>
      </c>
      <c r="H229" s="17"/>
      <c r="I229" s="17"/>
    </row>
    <row r="230" customFormat="false" ht="15" hidden="false" customHeight="false" outlineLevel="0" collapsed="false">
      <c r="A230" s="4" t="s">
        <v>15</v>
      </c>
      <c r="B230" s="5" t="s">
        <v>124</v>
      </c>
      <c r="C230" s="5" t="s">
        <v>54</v>
      </c>
      <c r="D230" s="4" t="s">
        <v>513</v>
      </c>
      <c r="E230" s="15" t="n">
        <v>21450</v>
      </c>
      <c r="F230" s="4" t="s">
        <v>514</v>
      </c>
      <c r="G230" s="16" t="s">
        <v>57</v>
      </c>
      <c r="H230" s="17"/>
      <c r="I230" s="17"/>
    </row>
    <row r="231" customFormat="false" ht="15" hidden="false" customHeight="false" outlineLevel="0" collapsed="false">
      <c r="A231" s="4" t="s">
        <v>15</v>
      </c>
      <c r="B231" s="5" t="s">
        <v>124</v>
      </c>
      <c r="C231" s="5" t="s">
        <v>54</v>
      </c>
      <c r="D231" s="4" t="s">
        <v>515</v>
      </c>
      <c r="E231" s="15" t="n">
        <v>7700</v>
      </c>
      <c r="F231" s="4" t="s">
        <v>516</v>
      </c>
      <c r="G231" s="16" t="s">
        <v>57</v>
      </c>
      <c r="H231" s="17"/>
      <c r="I231" s="17"/>
    </row>
    <row r="232" customFormat="false" ht="15" hidden="false" customHeight="false" outlineLevel="0" collapsed="false">
      <c r="A232" s="4" t="s">
        <v>15</v>
      </c>
      <c r="B232" s="5" t="s">
        <v>124</v>
      </c>
      <c r="C232" s="5" t="s">
        <v>54</v>
      </c>
      <c r="D232" s="4" t="s">
        <v>517</v>
      </c>
      <c r="E232" s="15" t="n">
        <v>6050</v>
      </c>
      <c r="F232" s="4" t="s">
        <v>518</v>
      </c>
      <c r="G232" s="16" t="s">
        <v>57</v>
      </c>
      <c r="H232" s="17"/>
      <c r="I232" s="17"/>
    </row>
    <row r="233" customFormat="false" ht="15" hidden="false" customHeight="false" outlineLevel="0" collapsed="false">
      <c r="A233" s="4" t="s">
        <v>15</v>
      </c>
      <c r="B233" s="5" t="s">
        <v>124</v>
      </c>
      <c r="C233" s="5" t="s">
        <v>54</v>
      </c>
      <c r="D233" s="4" t="s">
        <v>519</v>
      </c>
      <c r="E233" s="15" t="n">
        <v>9900</v>
      </c>
      <c r="F233" s="4" t="s">
        <v>520</v>
      </c>
      <c r="G233" s="16" t="s">
        <v>57</v>
      </c>
      <c r="H233" s="17"/>
      <c r="I233" s="17"/>
    </row>
    <row r="234" customFormat="false" ht="15" hidden="false" customHeight="false" outlineLevel="0" collapsed="false">
      <c r="A234" s="4" t="s">
        <v>15</v>
      </c>
      <c r="B234" s="5" t="s">
        <v>124</v>
      </c>
      <c r="C234" s="5" t="s">
        <v>54</v>
      </c>
      <c r="D234" s="4" t="s">
        <v>521</v>
      </c>
      <c r="E234" s="15" t="n">
        <v>35200</v>
      </c>
      <c r="F234" s="4" t="s">
        <v>522</v>
      </c>
      <c r="G234" s="16" t="s">
        <v>57</v>
      </c>
      <c r="H234" s="17"/>
      <c r="I234" s="17"/>
    </row>
    <row r="235" customFormat="false" ht="15" hidden="false" customHeight="false" outlineLevel="0" collapsed="false">
      <c r="A235" s="4" t="s">
        <v>15</v>
      </c>
      <c r="B235" s="5" t="s">
        <v>124</v>
      </c>
      <c r="C235" s="5" t="s">
        <v>54</v>
      </c>
      <c r="D235" s="4" t="s">
        <v>523</v>
      </c>
      <c r="E235" s="15" t="n">
        <v>35200</v>
      </c>
      <c r="F235" s="4" t="s">
        <v>524</v>
      </c>
      <c r="G235" s="16" t="s">
        <v>57</v>
      </c>
      <c r="H235" s="17"/>
      <c r="I235" s="17"/>
    </row>
    <row r="236" customFormat="false" ht="15" hidden="false" customHeight="false" outlineLevel="0" collapsed="false">
      <c r="A236" s="4" t="s">
        <v>15</v>
      </c>
      <c r="B236" s="5" t="s">
        <v>124</v>
      </c>
      <c r="C236" s="5" t="s">
        <v>54</v>
      </c>
      <c r="D236" s="4" t="s">
        <v>525</v>
      </c>
      <c r="E236" s="15" t="n">
        <v>35200</v>
      </c>
      <c r="F236" s="4" t="s">
        <v>526</v>
      </c>
      <c r="G236" s="16" t="s">
        <v>57</v>
      </c>
      <c r="H236" s="17"/>
      <c r="I236" s="17"/>
    </row>
    <row r="237" customFormat="false" ht="15" hidden="false" customHeight="false" outlineLevel="0" collapsed="false">
      <c r="A237" s="4" t="s">
        <v>15</v>
      </c>
      <c r="B237" s="5" t="s">
        <v>124</v>
      </c>
      <c r="C237" s="5" t="s">
        <v>54</v>
      </c>
      <c r="D237" s="4" t="s">
        <v>527</v>
      </c>
      <c r="E237" s="15" t="n">
        <v>28600</v>
      </c>
      <c r="F237" s="4" t="s">
        <v>528</v>
      </c>
      <c r="G237" s="16" t="s">
        <v>57</v>
      </c>
      <c r="H237" s="17"/>
      <c r="I237" s="17"/>
    </row>
    <row r="238" customFormat="false" ht="15" hidden="false" customHeight="false" outlineLevel="0" collapsed="false">
      <c r="A238" s="4" t="s">
        <v>15</v>
      </c>
      <c r="B238" s="5" t="s">
        <v>124</v>
      </c>
      <c r="C238" s="5" t="s">
        <v>54</v>
      </c>
      <c r="D238" s="4" t="s">
        <v>529</v>
      </c>
      <c r="E238" s="15" t="n">
        <v>28600</v>
      </c>
      <c r="F238" s="4" t="s">
        <v>530</v>
      </c>
      <c r="G238" s="16" t="s">
        <v>57</v>
      </c>
      <c r="H238" s="17"/>
      <c r="I238" s="17"/>
    </row>
    <row r="239" customFormat="false" ht="15" hidden="false" customHeight="false" outlineLevel="0" collapsed="false">
      <c r="A239" s="4" t="s">
        <v>15</v>
      </c>
      <c r="B239" s="5" t="s">
        <v>13</v>
      </c>
      <c r="C239" s="5" t="s">
        <v>243</v>
      </c>
      <c r="D239" s="4" t="s">
        <v>531</v>
      </c>
      <c r="E239" s="15" t="n">
        <v>14300</v>
      </c>
      <c r="F239" s="4" t="s">
        <v>532</v>
      </c>
      <c r="G239" s="16" t="s">
        <v>57</v>
      </c>
      <c r="H239" s="17"/>
      <c r="I239" s="17"/>
    </row>
    <row r="240" customFormat="false" ht="15" hidden="false" customHeight="false" outlineLevel="0" collapsed="false">
      <c r="A240" s="4" t="s">
        <v>15</v>
      </c>
      <c r="B240" s="5" t="s">
        <v>13</v>
      </c>
      <c r="C240" s="5" t="s">
        <v>243</v>
      </c>
      <c r="D240" s="4" t="s">
        <v>533</v>
      </c>
      <c r="E240" s="15" t="n">
        <v>9900</v>
      </c>
      <c r="F240" s="4" t="s">
        <v>534</v>
      </c>
      <c r="G240" s="16" t="s">
        <v>57</v>
      </c>
      <c r="H240" s="17"/>
      <c r="I240" s="17"/>
    </row>
    <row r="241" customFormat="false" ht="15" hidden="false" customHeight="false" outlineLevel="0" collapsed="false">
      <c r="A241" s="4" t="s">
        <v>15</v>
      </c>
      <c r="B241" s="5" t="s">
        <v>13</v>
      </c>
      <c r="C241" s="5" t="s">
        <v>243</v>
      </c>
      <c r="D241" s="4" t="s">
        <v>535</v>
      </c>
      <c r="E241" s="15" t="n">
        <v>33000</v>
      </c>
      <c r="F241" s="4" t="s">
        <v>536</v>
      </c>
      <c r="G241" s="16" t="s">
        <v>57</v>
      </c>
      <c r="H241" s="17"/>
      <c r="I241" s="17"/>
    </row>
    <row r="242" customFormat="false" ht="15" hidden="false" customHeight="false" outlineLevel="0" collapsed="false">
      <c r="A242" s="4" t="s">
        <v>15</v>
      </c>
      <c r="B242" s="5" t="s">
        <v>13</v>
      </c>
      <c r="C242" s="5" t="s">
        <v>243</v>
      </c>
      <c r="D242" s="4" t="s">
        <v>537</v>
      </c>
      <c r="E242" s="15" t="n">
        <v>37400</v>
      </c>
      <c r="F242" s="4" t="s">
        <v>538</v>
      </c>
      <c r="G242" s="16" t="s">
        <v>57</v>
      </c>
      <c r="H242" s="17"/>
      <c r="I242" s="17"/>
    </row>
    <row r="243" customFormat="false" ht="15" hidden="false" customHeight="false" outlineLevel="0" collapsed="false">
      <c r="A243" s="4" t="s">
        <v>15</v>
      </c>
      <c r="B243" s="5" t="s">
        <v>13</v>
      </c>
      <c r="C243" s="5" t="s">
        <v>243</v>
      </c>
      <c r="D243" s="4" t="s">
        <v>539</v>
      </c>
      <c r="E243" s="15" t="n">
        <v>8800</v>
      </c>
      <c r="F243" s="4" t="s">
        <v>540</v>
      </c>
      <c r="G243" s="16" t="s">
        <v>57</v>
      </c>
      <c r="H243" s="17"/>
      <c r="I243" s="17"/>
    </row>
    <row r="244" customFormat="false" ht="15" hidden="false" customHeight="false" outlineLevel="0" collapsed="false">
      <c r="A244" s="4" t="s">
        <v>15</v>
      </c>
      <c r="B244" s="5" t="s">
        <v>13</v>
      </c>
      <c r="C244" s="5" t="s">
        <v>243</v>
      </c>
      <c r="D244" s="4" t="s">
        <v>541</v>
      </c>
      <c r="E244" s="15" t="n">
        <v>16500</v>
      </c>
      <c r="F244" s="4" t="s">
        <v>542</v>
      </c>
      <c r="G244" s="16" t="s">
        <v>57</v>
      </c>
      <c r="H244" s="17"/>
      <c r="I244" s="17"/>
    </row>
    <row r="245" customFormat="false" ht="15" hidden="false" customHeight="false" outlineLevel="0" collapsed="false">
      <c r="A245" s="4" t="s">
        <v>15</v>
      </c>
      <c r="B245" s="5" t="s">
        <v>13</v>
      </c>
      <c r="C245" s="5" t="s">
        <v>243</v>
      </c>
      <c r="D245" s="4" t="s">
        <v>543</v>
      </c>
      <c r="E245" s="15" t="n">
        <v>16500</v>
      </c>
      <c r="F245" s="4" t="s">
        <v>544</v>
      </c>
      <c r="G245" s="16" t="s">
        <v>57</v>
      </c>
      <c r="H245" s="17"/>
      <c r="I245" s="17"/>
    </row>
    <row r="246" customFormat="false" ht="15" hidden="false" customHeight="false" outlineLevel="0" collapsed="false">
      <c r="A246" s="4" t="s">
        <v>15</v>
      </c>
      <c r="B246" s="5" t="s">
        <v>13</v>
      </c>
      <c r="C246" s="5" t="s">
        <v>243</v>
      </c>
      <c r="D246" s="4" t="s">
        <v>545</v>
      </c>
      <c r="E246" s="15" t="n">
        <v>8800</v>
      </c>
      <c r="F246" s="4" t="s">
        <v>546</v>
      </c>
      <c r="G246" s="16" t="s">
        <v>57</v>
      </c>
      <c r="H246" s="17"/>
      <c r="I246" s="17"/>
    </row>
    <row r="247" customFormat="false" ht="15" hidden="false" customHeight="false" outlineLevel="0" collapsed="false">
      <c r="A247" s="4" t="s">
        <v>15</v>
      </c>
      <c r="B247" s="5" t="s">
        <v>13</v>
      </c>
      <c r="C247" s="5" t="s">
        <v>243</v>
      </c>
      <c r="D247" s="4" t="s">
        <v>547</v>
      </c>
      <c r="E247" s="15" t="n">
        <v>9900</v>
      </c>
      <c r="F247" s="4" t="s">
        <v>548</v>
      </c>
      <c r="G247" s="16" t="s">
        <v>57</v>
      </c>
      <c r="H247" s="17"/>
      <c r="I247" s="17"/>
    </row>
    <row r="248" customFormat="false" ht="15" hidden="false" customHeight="false" outlineLevel="0" collapsed="false">
      <c r="A248" s="4" t="s">
        <v>15</v>
      </c>
      <c r="B248" s="5" t="s">
        <v>13</v>
      </c>
      <c r="C248" s="5" t="s">
        <v>243</v>
      </c>
      <c r="D248" s="4" t="s">
        <v>549</v>
      </c>
      <c r="E248" s="15" t="n">
        <v>18700</v>
      </c>
      <c r="F248" s="4" t="s">
        <v>550</v>
      </c>
      <c r="G248" s="16" t="s">
        <v>57</v>
      </c>
      <c r="H248" s="17"/>
      <c r="I248" s="17"/>
    </row>
    <row r="249" customFormat="false" ht="15" hidden="false" customHeight="false" outlineLevel="0" collapsed="false">
      <c r="A249" s="4" t="s">
        <v>15</v>
      </c>
      <c r="B249" s="5" t="s">
        <v>13</v>
      </c>
      <c r="C249" s="5" t="s">
        <v>243</v>
      </c>
      <c r="D249" s="4" t="s">
        <v>551</v>
      </c>
      <c r="E249" s="15" t="n">
        <v>18700</v>
      </c>
      <c r="F249" s="4" t="s">
        <v>552</v>
      </c>
      <c r="G249" s="16" t="s">
        <v>57</v>
      </c>
      <c r="H249" s="17"/>
      <c r="I249" s="17"/>
    </row>
    <row r="250" customFormat="false" ht="15" hidden="false" customHeight="false" outlineLevel="0" collapsed="false">
      <c r="A250" s="4" t="s">
        <v>15</v>
      </c>
      <c r="B250" s="5" t="s">
        <v>13</v>
      </c>
      <c r="C250" s="5" t="s">
        <v>243</v>
      </c>
      <c r="D250" s="4" t="s">
        <v>553</v>
      </c>
      <c r="E250" s="15" t="n">
        <v>9900</v>
      </c>
      <c r="F250" s="4" t="s">
        <v>554</v>
      </c>
      <c r="G250" s="16" t="s">
        <v>57</v>
      </c>
      <c r="H250" s="17"/>
      <c r="I250" s="17"/>
    </row>
    <row r="251" customFormat="false" ht="15" hidden="false" customHeight="false" outlineLevel="0" collapsed="false">
      <c r="A251" s="4" t="s">
        <v>15</v>
      </c>
      <c r="B251" s="5" t="s">
        <v>13</v>
      </c>
      <c r="C251" s="5" t="s">
        <v>243</v>
      </c>
      <c r="D251" s="4" t="s">
        <v>555</v>
      </c>
      <c r="E251" s="15" t="n">
        <v>14300</v>
      </c>
      <c r="F251" s="4" t="s">
        <v>556</v>
      </c>
      <c r="G251" s="16" t="s">
        <v>57</v>
      </c>
      <c r="H251" s="17"/>
      <c r="I251" s="17"/>
    </row>
    <row r="252" customFormat="false" ht="15" hidden="false" customHeight="false" outlineLevel="0" collapsed="false">
      <c r="A252" s="4" t="s">
        <v>15</v>
      </c>
      <c r="B252" s="5" t="s">
        <v>13</v>
      </c>
      <c r="C252" s="5" t="s">
        <v>243</v>
      </c>
      <c r="D252" s="4" t="s">
        <v>557</v>
      </c>
      <c r="E252" s="15" t="n">
        <v>14300</v>
      </c>
      <c r="F252" s="4" t="s">
        <v>558</v>
      </c>
      <c r="G252" s="16" t="s">
        <v>57</v>
      </c>
      <c r="H252" s="17"/>
      <c r="I252" s="17"/>
    </row>
    <row r="253" customFormat="false" ht="15" hidden="false" customHeight="false" outlineLevel="0" collapsed="false">
      <c r="A253" s="4" t="s">
        <v>15</v>
      </c>
      <c r="B253" s="5" t="s">
        <v>13</v>
      </c>
      <c r="C253" s="5" t="s">
        <v>243</v>
      </c>
      <c r="D253" s="4" t="s">
        <v>559</v>
      </c>
      <c r="E253" s="15" t="n">
        <v>16500</v>
      </c>
      <c r="F253" s="4" t="s">
        <v>560</v>
      </c>
      <c r="G253" s="16" t="s">
        <v>57</v>
      </c>
      <c r="H253" s="17"/>
      <c r="I253" s="17"/>
    </row>
    <row r="254" customFormat="false" ht="15" hidden="false" customHeight="false" outlineLevel="0" collapsed="false">
      <c r="A254" s="4" t="s">
        <v>15</v>
      </c>
      <c r="B254" s="5" t="s">
        <v>13</v>
      </c>
      <c r="C254" s="5" t="s">
        <v>243</v>
      </c>
      <c r="D254" s="4" t="s">
        <v>561</v>
      </c>
      <c r="E254" s="15" t="n">
        <v>16500</v>
      </c>
      <c r="F254" s="4" t="s">
        <v>562</v>
      </c>
      <c r="G254" s="16" t="s">
        <v>57</v>
      </c>
      <c r="H254" s="17"/>
      <c r="I254" s="17"/>
    </row>
    <row r="255" customFormat="false" ht="15" hidden="false" customHeight="false" outlineLevel="0" collapsed="false">
      <c r="A255" s="4" t="s">
        <v>15</v>
      </c>
      <c r="B255" s="5" t="s">
        <v>13</v>
      </c>
      <c r="C255" s="5" t="s">
        <v>243</v>
      </c>
      <c r="D255" s="4" t="s">
        <v>563</v>
      </c>
      <c r="E255" s="15" t="n">
        <v>18700</v>
      </c>
      <c r="F255" s="4" t="s">
        <v>564</v>
      </c>
      <c r="G255" s="16" t="s">
        <v>57</v>
      </c>
      <c r="H255" s="17"/>
      <c r="I255" s="17"/>
    </row>
    <row r="256" customFormat="false" ht="15" hidden="false" customHeight="false" outlineLevel="0" collapsed="false">
      <c r="A256" s="4" t="s">
        <v>15</v>
      </c>
      <c r="B256" s="5" t="s">
        <v>13</v>
      </c>
      <c r="C256" s="5" t="s">
        <v>243</v>
      </c>
      <c r="D256" s="4" t="s">
        <v>565</v>
      </c>
      <c r="E256" s="15" t="n">
        <v>18700</v>
      </c>
      <c r="F256" s="4" t="s">
        <v>566</v>
      </c>
      <c r="G256" s="16" t="s">
        <v>57</v>
      </c>
      <c r="H256" s="17"/>
      <c r="I256" s="17"/>
    </row>
    <row r="257" customFormat="false" ht="15" hidden="false" customHeight="false" outlineLevel="0" collapsed="false">
      <c r="A257" s="4" t="s">
        <v>15</v>
      </c>
      <c r="B257" s="5" t="s">
        <v>13</v>
      </c>
      <c r="C257" s="5" t="s">
        <v>243</v>
      </c>
      <c r="D257" s="4" t="s">
        <v>567</v>
      </c>
      <c r="E257" s="15" t="n">
        <v>16500</v>
      </c>
      <c r="F257" s="4" t="s">
        <v>568</v>
      </c>
      <c r="G257" s="16" t="s">
        <v>57</v>
      </c>
      <c r="H257" s="17"/>
      <c r="I257" s="17"/>
    </row>
    <row r="258" customFormat="false" ht="15" hidden="false" customHeight="false" outlineLevel="0" collapsed="false">
      <c r="A258" s="4" t="s">
        <v>15</v>
      </c>
      <c r="B258" s="5" t="s">
        <v>13</v>
      </c>
      <c r="C258" s="5" t="s">
        <v>243</v>
      </c>
      <c r="D258" s="4" t="s">
        <v>569</v>
      </c>
      <c r="E258" s="15" t="n">
        <v>16500</v>
      </c>
      <c r="F258" s="4" t="s">
        <v>570</v>
      </c>
      <c r="G258" s="16" t="s">
        <v>57</v>
      </c>
      <c r="H258" s="17"/>
      <c r="I258" s="17"/>
    </row>
    <row r="259" customFormat="false" ht="15" hidden="false" customHeight="false" outlineLevel="0" collapsed="false">
      <c r="A259" s="4" t="s">
        <v>15</v>
      </c>
      <c r="B259" s="5" t="s">
        <v>13</v>
      </c>
      <c r="C259" s="5" t="s">
        <v>243</v>
      </c>
      <c r="D259" s="4" t="s">
        <v>571</v>
      </c>
      <c r="E259" s="15" t="n">
        <v>17600</v>
      </c>
      <c r="F259" s="4" t="s">
        <v>572</v>
      </c>
      <c r="G259" s="16" t="s">
        <v>57</v>
      </c>
      <c r="H259" s="17"/>
      <c r="I259" s="17"/>
    </row>
    <row r="260" customFormat="false" ht="15" hidden="false" customHeight="false" outlineLevel="0" collapsed="false">
      <c r="A260" s="4" t="s">
        <v>15</v>
      </c>
      <c r="B260" s="5" t="s">
        <v>13</v>
      </c>
      <c r="C260" s="5" t="s">
        <v>243</v>
      </c>
      <c r="D260" s="4" t="s">
        <v>573</v>
      </c>
      <c r="E260" s="15" t="n">
        <v>17600</v>
      </c>
      <c r="F260" s="4" t="s">
        <v>574</v>
      </c>
      <c r="G260" s="16" t="s">
        <v>57</v>
      </c>
      <c r="H260" s="17"/>
      <c r="I260" s="17"/>
    </row>
    <row r="261" customFormat="false" ht="15" hidden="false" customHeight="false" outlineLevel="0" collapsed="false">
      <c r="A261" s="4" t="s">
        <v>15</v>
      </c>
      <c r="B261" s="5" t="s">
        <v>13</v>
      </c>
      <c r="C261" s="5" t="s">
        <v>243</v>
      </c>
      <c r="D261" s="4" t="s">
        <v>575</v>
      </c>
      <c r="E261" s="15" t="n">
        <v>19800</v>
      </c>
      <c r="F261" s="4" t="s">
        <v>576</v>
      </c>
      <c r="G261" s="16" t="s">
        <v>57</v>
      </c>
      <c r="H261" s="17"/>
      <c r="I261" s="17"/>
    </row>
    <row r="262" customFormat="false" ht="15" hidden="false" customHeight="false" outlineLevel="0" collapsed="false">
      <c r="A262" s="4" t="s">
        <v>15</v>
      </c>
      <c r="B262" s="5" t="s">
        <v>13</v>
      </c>
      <c r="C262" s="5" t="s">
        <v>243</v>
      </c>
      <c r="D262" s="4" t="s">
        <v>577</v>
      </c>
      <c r="E262" s="15" t="n">
        <v>19800</v>
      </c>
      <c r="F262" s="4" t="s">
        <v>578</v>
      </c>
      <c r="G262" s="16" t="s">
        <v>57</v>
      </c>
      <c r="H262" s="17"/>
      <c r="I262" s="17"/>
    </row>
    <row r="263" customFormat="false" ht="15" hidden="false" customHeight="false" outlineLevel="0" collapsed="false">
      <c r="A263" s="4" t="s">
        <v>15</v>
      </c>
      <c r="B263" s="5" t="s">
        <v>13</v>
      </c>
      <c r="C263" s="5" t="s">
        <v>243</v>
      </c>
      <c r="D263" s="4" t="s">
        <v>579</v>
      </c>
      <c r="E263" s="15" t="n">
        <v>14300</v>
      </c>
      <c r="F263" s="4" t="s">
        <v>580</v>
      </c>
      <c r="G263" s="16" t="s">
        <v>57</v>
      </c>
      <c r="H263" s="17"/>
      <c r="I263" s="17"/>
    </row>
    <row r="264" customFormat="false" ht="15" hidden="false" customHeight="false" outlineLevel="0" collapsed="false">
      <c r="A264" s="4" t="s">
        <v>15</v>
      </c>
      <c r="B264" s="5" t="s">
        <v>13</v>
      </c>
      <c r="C264" s="5" t="s">
        <v>243</v>
      </c>
      <c r="D264" s="4" t="s">
        <v>581</v>
      </c>
      <c r="E264" s="15" t="n">
        <v>8250</v>
      </c>
      <c r="F264" s="4" t="s">
        <v>582</v>
      </c>
      <c r="G264" s="16" t="s">
        <v>57</v>
      </c>
      <c r="H264" s="17"/>
      <c r="I264" s="17"/>
    </row>
    <row r="265" customFormat="false" ht="15" hidden="false" customHeight="false" outlineLevel="0" collapsed="false">
      <c r="A265" s="4" t="s">
        <v>15</v>
      </c>
      <c r="B265" s="5" t="s">
        <v>13</v>
      </c>
      <c r="C265" s="5" t="s">
        <v>243</v>
      </c>
      <c r="D265" s="4" t="s">
        <v>583</v>
      </c>
      <c r="E265" s="15" t="n">
        <v>6600</v>
      </c>
      <c r="F265" s="4" t="s">
        <v>584</v>
      </c>
      <c r="G265" s="16" t="s">
        <v>57</v>
      </c>
      <c r="H265" s="17"/>
      <c r="I265" s="17"/>
    </row>
    <row r="266" customFormat="false" ht="15" hidden="false" customHeight="false" outlineLevel="0" collapsed="false">
      <c r="A266" s="4" t="s">
        <v>15</v>
      </c>
      <c r="B266" s="5" t="s">
        <v>13</v>
      </c>
      <c r="C266" s="5" t="s">
        <v>243</v>
      </c>
      <c r="D266" s="4" t="s">
        <v>585</v>
      </c>
      <c r="E266" s="15" t="n">
        <v>8250</v>
      </c>
      <c r="F266" s="4" t="s">
        <v>586</v>
      </c>
      <c r="G266" s="16" t="s">
        <v>57</v>
      </c>
      <c r="H266" s="17"/>
      <c r="I266" s="17"/>
    </row>
    <row r="267" customFormat="false" ht="15" hidden="false" customHeight="false" outlineLevel="0" collapsed="false">
      <c r="A267" s="4" t="s">
        <v>15</v>
      </c>
      <c r="B267" s="5" t="s">
        <v>13</v>
      </c>
      <c r="C267" s="5" t="s">
        <v>243</v>
      </c>
      <c r="D267" s="4" t="s">
        <v>587</v>
      </c>
      <c r="E267" s="15" t="n">
        <v>22000</v>
      </c>
      <c r="F267" s="4" t="s">
        <v>588</v>
      </c>
      <c r="G267" s="16" t="s">
        <v>57</v>
      </c>
      <c r="H267" s="17"/>
      <c r="I267" s="17"/>
    </row>
    <row r="268" customFormat="false" ht="15" hidden="false" customHeight="false" outlineLevel="0" collapsed="false">
      <c r="A268" s="4" t="s">
        <v>15</v>
      </c>
      <c r="B268" s="5" t="s">
        <v>13</v>
      </c>
      <c r="C268" s="5" t="s">
        <v>243</v>
      </c>
      <c r="D268" s="4" t="s">
        <v>589</v>
      </c>
      <c r="E268" s="15" t="n">
        <v>22000</v>
      </c>
      <c r="F268" s="4" t="s">
        <v>590</v>
      </c>
      <c r="G268" s="16" t="s">
        <v>57</v>
      </c>
      <c r="H268" s="17"/>
      <c r="I268" s="17"/>
    </row>
    <row r="269" customFormat="false" ht="15" hidden="false" customHeight="false" outlineLevel="0" collapsed="false">
      <c r="A269" s="4" t="s">
        <v>15</v>
      </c>
      <c r="B269" s="5" t="s">
        <v>13</v>
      </c>
      <c r="C269" s="5" t="s">
        <v>243</v>
      </c>
      <c r="D269" s="4" t="s">
        <v>591</v>
      </c>
      <c r="E269" s="15" t="n">
        <v>15400</v>
      </c>
      <c r="F269" s="4" t="s">
        <v>592</v>
      </c>
      <c r="G269" s="16" t="s">
        <v>57</v>
      </c>
      <c r="H269" s="17"/>
      <c r="I269" s="17"/>
    </row>
    <row r="270" customFormat="false" ht="15" hidden="false" customHeight="false" outlineLevel="0" collapsed="false">
      <c r="A270" s="4" t="s">
        <v>15</v>
      </c>
      <c r="B270" s="5" t="s">
        <v>13</v>
      </c>
      <c r="C270" s="5" t="s">
        <v>243</v>
      </c>
      <c r="D270" s="4" t="s">
        <v>593</v>
      </c>
      <c r="E270" s="15" t="n">
        <v>18700</v>
      </c>
      <c r="F270" s="4" t="s">
        <v>594</v>
      </c>
      <c r="G270" s="16" t="s">
        <v>57</v>
      </c>
      <c r="H270" s="17"/>
      <c r="I270" s="17"/>
    </row>
    <row r="271" customFormat="false" ht="15" hidden="false" customHeight="false" outlineLevel="0" collapsed="false">
      <c r="A271" s="4" t="s">
        <v>15</v>
      </c>
      <c r="B271" s="5" t="s">
        <v>13</v>
      </c>
      <c r="C271" s="5" t="s">
        <v>243</v>
      </c>
      <c r="D271" s="4" t="s">
        <v>595</v>
      </c>
      <c r="E271" s="15" t="n">
        <v>18700</v>
      </c>
      <c r="F271" s="4" t="s">
        <v>596</v>
      </c>
      <c r="G271" s="16" t="s">
        <v>57</v>
      </c>
      <c r="H271" s="17"/>
      <c r="I271" s="17"/>
    </row>
    <row r="272" customFormat="false" ht="15" hidden="false" customHeight="false" outlineLevel="0" collapsed="false">
      <c r="A272" s="4" t="s">
        <v>15</v>
      </c>
      <c r="B272" s="5" t="s">
        <v>13</v>
      </c>
      <c r="C272" s="5" t="s">
        <v>243</v>
      </c>
      <c r="D272" s="4" t="s">
        <v>597</v>
      </c>
      <c r="E272" s="15" t="n">
        <v>3850</v>
      </c>
      <c r="F272" s="4" t="s">
        <v>598</v>
      </c>
      <c r="G272" s="16" t="s">
        <v>57</v>
      </c>
      <c r="H272" s="17"/>
      <c r="I272" s="17"/>
    </row>
    <row r="273" customFormat="false" ht="15" hidden="false" customHeight="false" outlineLevel="0" collapsed="false">
      <c r="A273" s="4" t="s">
        <v>15</v>
      </c>
      <c r="B273" s="5" t="s">
        <v>13</v>
      </c>
      <c r="C273" s="5" t="s">
        <v>243</v>
      </c>
      <c r="D273" s="4" t="s">
        <v>599</v>
      </c>
      <c r="E273" s="15" t="n">
        <v>9900</v>
      </c>
      <c r="F273" s="4" t="s">
        <v>600</v>
      </c>
      <c r="G273" s="16" t="s">
        <v>57</v>
      </c>
      <c r="H273" s="17"/>
      <c r="I273" s="17"/>
    </row>
    <row r="274" customFormat="false" ht="15" hidden="false" customHeight="false" outlineLevel="0" collapsed="false">
      <c r="A274" s="4" t="s">
        <v>15</v>
      </c>
      <c r="B274" s="5" t="s">
        <v>13</v>
      </c>
      <c r="C274" s="5" t="s">
        <v>243</v>
      </c>
      <c r="D274" s="4" t="s">
        <v>601</v>
      </c>
      <c r="E274" s="15" t="n">
        <v>7700</v>
      </c>
      <c r="F274" s="4" t="s">
        <v>602</v>
      </c>
      <c r="G274" s="16" t="s">
        <v>57</v>
      </c>
      <c r="H274" s="17"/>
      <c r="I274" s="17"/>
    </row>
    <row r="275" customFormat="false" ht="15" hidden="false" customHeight="false" outlineLevel="0" collapsed="false">
      <c r="A275" s="4" t="s">
        <v>15</v>
      </c>
      <c r="B275" s="5" t="s">
        <v>13</v>
      </c>
      <c r="C275" s="5" t="s">
        <v>243</v>
      </c>
      <c r="D275" s="4" t="s">
        <v>603</v>
      </c>
      <c r="E275" s="15" t="n">
        <v>38500</v>
      </c>
      <c r="F275" s="4" t="s">
        <v>604</v>
      </c>
      <c r="G275" s="16" t="s">
        <v>57</v>
      </c>
      <c r="H275" s="17"/>
      <c r="I275" s="17"/>
    </row>
    <row r="276" customFormat="false" ht="15" hidden="false" customHeight="false" outlineLevel="0" collapsed="false">
      <c r="A276" s="4" t="s">
        <v>15</v>
      </c>
      <c r="B276" s="5" t="s">
        <v>13</v>
      </c>
      <c r="C276" s="5" t="s">
        <v>243</v>
      </c>
      <c r="D276" s="4" t="s">
        <v>605</v>
      </c>
      <c r="E276" s="15" t="n">
        <v>38500</v>
      </c>
      <c r="F276" s="4" t="s">
        <v>606</v>
      </c>
      <c r="G276" s="16" t="s">
        <v>57</v>
      </c>
      <c r="H276" s="17"/>
      <c r="I276" s="17"/>
    </row>
    <row r="277" customFormat="false" ht="15" hidden="false" customHeight="false" outlineLevel="0" collapsed="false">
      <c r="A277" s="4" t="s">
        <v>15</v>
      </c>
      <c r="B277" s="5" t="s">
        <v>13</v>
      </c>
      <c r="C277" s="5" t="s">
        <v>243</v>
      </c>
      <c r="D277" s="4" t="s">
        <v>607</v>
      </c>
      <c r="E277" s="15" t="n">
        <v>31900</v>
      </c>
      <c r="F277" s="4" t="s">
        <v>608</v>
      </c>
      <c r="G277" s="16" t="s">
        <v>57</v>
      </c>
      <c r="H277" s="17"/>
      <c r="I277" s="17"/>
    </row>
    <row r="278" customFormat="false" ht="15" hidden="false" customHeight="false" outlineLevel="0" collapsed="false">
      <c r="A278" s="4" t="s">
        <v>15</v>
      </c>
      <c r="B278" s="5" t="s">
        <v>13</v>
      </c>
      <c r="C278" s="5" t="s">
        <v>243</v>
      </c>
      <c r="D278" s="4" t="s">
        <v>609</v>
      </c>
      <c r="E278" s="15" t="n">
        <v>31900</v>
      </c>
      <c r="F278" s="4" t="s">
        <v>610</v>
      </c>
      <c r="G278" s="16" t="s">
        <v>57</v>
      </c>
      <c r="H278" s="17"/>
      <c r="I278" s="17"/>
    </row>
    <row r="279" customFormat="false" ht="15" hidden="false" customHeight="false" outlineLevel="0" collapsed="false">
      <c r="A279" s="4" t="s">
        <v>15</v>
      </c>
      <c r="B279" s="5" t="s">
        <v>13</v>
      </c>
      <c r="C279" s="5" t="s">
        <v>243</v>
      </c>
      <c r="D279" s="4" t="s">
        <v>611</v>
      </c>
      <c r="E279" s="15" t="n">
        <v>37400</v>
      </c>
      <c r="F279" s="4" t="s">
        <v>612</v>
      </c>
      <c r="G279" s="16" t="s">
        <v>57</v>
      </c>
      <c r="H279" s="17"/>
      <c r="I279" s="17"/>
    </row>
    <row r="280" customFormat="false" ht="15" hidden="false" customHeight="false" outlineLevel="0" collapsed="false">
      <c r="A280" s="4" t="s">
        <v>15</v>
      </c>
      <c r="B280" s="5" t="s">
        <v>13</v>
      </c>
      <c r="C280" s="5" t="s">
        <v>243</v>
      </c>
      <c r="D280" s="4" t="s">
        <v>613</v>
      </c>
      <c r="E280" s="15" t="n">
        <v>37400</v>
      </c>
      <c r="F280" s="4" t="s">
        <v>614</v>
      </c>
      <c r="G280" s="16" t="s">
        <v>57</v>
      </c>
      <c r="H280" s="17"/>
      <c r="I280" s="17"/>
    </row>
    <row r="281" customFormat="false" ht="15" hidden="false" customHeight="false" outlineLevel="0" collapsed="false">
      <c r="A281" s="4" t="s">
        <v>15</v>
      </c>
      <c r="B281" s="5" t="s">
        <v>13</v>
      </c>
      <c r="C281" s="5" t="s">
        <v>243</v>
      </c>
      <c r="D281" s="4" t="s">
        <v>615</v>
      </c>
      <c r="E281" s="15" t="n">
        <v>8800</v>
      </c>
      <c r="F281" s="4" t="s">
        <v>616</v>
      </c>
      <c r="G281" s="16" t="s">
        <v>57</v>
      </c>
      <c r="H281" s="17"/>
      <c r="I281" s="17"/>
    </row>
    <row r="282" customFormat="false" ht="15" hidden="false" customHeight="false" outlineLevel="0" collapsed="false">
      <c r="A282" s="4" t="s">
        <v>15</v>
      </c>
      <c r="B282" s="5" t="s">
        <v>13</v>
      </c>
      <c r="C282" s="5" t="s">
        <v>243</v>
      </c>
      <c r="D282" s="4" t="s">
        <v>617</v>
      </c>
      <c r="E282" s="15" t="n">
        <v>8800</v>
      </c>
      <c r="F282" s="4" t="s">
        <v>618</v>
      </c>
      <c r="G282" s="16" t="s">
        <v>57</v>
      </c>
      <c r="H282" s="17"/>
      <c r="I282" s="17"/>
    </row>
    <row r="283" customFormat="false" ht="15" hidden="false" customHeight="false" outlineLevel="0" collapsed="false">
      <c r="A283" s="4" t="s">
        <v>15</v>
      </c>
      <c r="B283" s="5" t="s">
        <v>13</v>
      </c>
      <c r="C283" s="5" t="s">
        <v>243</v>
      </c>
      <c r="D283" s="4" t="s">
        <v>619</v>
      </c>
      <c r="E283" s="15" t="n">
        <v>11000</v>
      </c>
      <c r="F283" s="4" t="s">
        <v>620</v>
      </c>
      <c r="G283" s="16" t="s">
        <v>57</v>
      </c>
      <c r="H283" s="17"/>
      <c r="I283" s="17"/>
    </row>
    <row r="284" customFormat="false" ht="15" hidden="false" customHeight="false" outlineLevel="0" collapsed="false">
      <c r="A284" s="4" t="s">
        <v>15</v>
      </c>
      <c r="B284" s="5" t="s">
        <v>13</v>
      </c>
      <c r="C284" s="5" t="s">
        <v>243</v>
      </c>
      <c r="D284" s="4" t="s">
        <v>621</v>
      </c>
      <c r="E284" s="15" t="n">
        <v>18700</v>
      </c>
      <c r="F284" s="4" t="s">
        <v>622</v>
      </c>
      <c r="G284" s="16" t="s">
        <v>57</v>
      </c>
      <c r="H284" s="17"/>
      <c r="I284" s="17"/>
    </row>
    <row r="285" customFormat="false" ht="15" hidden="false" customHeight="false" outlineLevel="0" collapsed="false">
      <c r="A285" s="4" t="s">
        <v>15</v>
      </c>
      <c r="B285" s="5" t="s">
        <v>13</v>
      </c>
      <c r="C285" s="5" t="s">
        <v>243</v>
      </c>
      <c r="D285" s="4" t="s">
        <v>623</v>
      </c>
      <c r="E285" s="15" t="n">
        <v>18700</v>
      </c>
      <c r="F285" s="4" t="s">
        <v>624</v>
      </c>
      <c r="G285" s="16" t="s">
        <v>57</v>
      </c>
      <c r="H285" s="17"/>
      <c r="I285" s="17"/>
    </row>
    <row r="286" customFormat="false" ht="15" hidden="false" customHeight="false" outlineLevel="0" collapsed="false">
      <c r="A286" s="4" t="s">
        <v>15</v>
      </c>
      <c r="B286" s="5" t="s">
        <v>13</v>
      </c>
      <c r="C286" s="5" t="s">
        <v>243</v>
      </c>
      <c r="D286" s="4" t="s">
        <v>625</v>
      </c>
      <c r="E286" s="15" t="n">
        <v>19800</v>
      </c>
      <c r="F286" s="4" t="s">
        <v>626</v>
      </c>
      <c r="G286" s="16" t="s">
        <v>57</v>
      </c>
      <c r="H286" s="17"/>
      <c r="I286" s="17"/>
    </row>
    <row r="287" customFormat="false" ht="15" hidden="false" customHeight="false" outlineLevel="0" collapsed="false">
      <c r="A287" s="4" t="s">
        <v>15</v>
      </c>
      <c r="B287" s="5" t="s">
        <v>13</v>
      </c>
      <c r="C287" s="5" t="s">
        <v>243</v>
      </c>
      <c r="D287" s="4" t="s">
        <v>627</v>
      </c>
      <c r="E287" s="15" t="n">
        <v>19800</v>
      </c>
      <c r="F287" s="4" t="s">
        <v>628</v>
      </c>
      <c r="G287" s="16" t="s">
        <v>57</v>
      </c>
      <c r="H287" s="17"/>
      <c r="I287" s="17"/>
    </row>
    <row r="288" customFormat="false" ht="15" hidden="false" customHeight="false" outlineLevel="0" collapsed="false">
      <c r="A288" s="4" t="s">
        <v>15</v>
      </c>
      <c r="B288" s="5" t="s">
        <v>13</v>
      </c>
      <c r="C288" s="5" t="s">
        <v>243</v>
      </c>
      <c r="D288" s="4" t="s">
        <v>629</v>
      </c>
      <c r="E288" s="15" t="n">
        <v>22000</v>
      </c>
      <c r="F288" s="4" t="s">
        <v>630</v>
      </c>
      <c r="G288" s="16" t="s">
        <v>57</v>
      </c>
      <c r="H288" s="17"/>
      <c r="I288" s="17"/>
    </row>
    <row r="289" customFormat="false" ht="15" hidden="false" customHeight="false" outlineLevel="0" collapsed="false">
      <c r="A289" s="4" t="s">
        <v>15</v>
      </c>
      <c r="B289" s="5" t="s">
        <v>13</v>
      </c>
      <c r="C289" s="5" t="s">
        <v>243</v>
      </c>
      <c r="D289" s="4" t="s">
        <v>631</v>
      </c>
      <c r="E289" s="15" t="n">
        <v>22000</v>
      </c>
      <c r="F289" s="4" t="s">
        <v>632</v>
      </c>
      <c r="G289" s="16" t="s">
        <v>57</v>
      </c>
      <c r="H289" s="17"/>
      <c r="I289" s="17"/>
    </row>
    <row r="290" customFormat="false" ht="15" hidden="false" customHeight="false" outlineLevel="0" collapsed="false">
      <c r="A290" s="4" t="s">
        <v>15</v>
      </c>
      <c r="B290" s="5" t="s">
        <v>13</v>
      </c>
      <c r="C290" s="5" t="s">
        <v>243</v>
      </c>
      <c r="D290" s="4" t="s">
        <v>633</v>
      </c>
      <c r="E290" s="15" t="n">
        <v>22000</v>
      </c>
      <c r="F290" s="4" t="s">
        <v>634</v>
      </c>
      <c r="G290" s="16" t="s">
        <v>57</v>
      </c>
      <c r="H290" s="17"/>
      <c r="I290" s="17"/>
    </row>
    <row r="291" customFormat="false" ht="15" hidden="false" customHeight="false" outlineLevel="0" collapsed="false">
      <c r="A291" s="4" t="s">
        <v>15</v>
      </c>
      <c r="B291" s="5" t="s">
        <v>13</v>
      </c>
      <c r="C291" s="5" t="s">
        <v>243</v>
      </c>
      <c r="D291" s="4" t="s">
        <v>635</v>
      </c>
      <c r="E291" s="15" t="n">
        <v>25300</v>
      </c>
      <c r="F291" s="4" t="s">
        <v>636</v>
      </c>
      <c r="G291" s="16" t="s">
        <v>57</v>
      </c>
      <c r="H291" s="17"/>
      <c r="I291" s="17"/>
    </row>
    <row r="292" customFormat="false" ht="15" hidden="false" customHeight="false" outlineLevel="0" collapsed="false">
      <c r="A292" s="4" t="s">
        <v>15</v>
      </c>
      <c r="B292" s="5" t="s">
        <v>13</v>
      </c>
      <c r="C292" s="5" t="s">
        <v>243</v>
      </c>
      <c r="D292" s="4" t="s">
        <v>637</v>
      </c>
      <c r="E292" s="15" t="n">
        <v>19800</v>
      </c>
      <c r="F292" s="4" t="s">
        <v>638</v>
      </c>
      <c r="G292" s="16" t="s">
        <v>57</v>
      </c>
      <c r="H292" s="17"/>
      <c r="I292" s="17"/>
    </row>
    <row r="293" customFormat="false" ht="15" hidden="false" customHeight="false" outlineLevel="0" collapsed="false">
      <c r="A293" s="4" t="s">
        <v>15</v>
      </c>
      <c r="B293" s="5" t="s">
        <v>13</v>
      </c>
      <c r="C293" s="5" t="s">
        <v>243</v>
      </c>
      <c r="D293" s="4" t="s">
        <v>639</v>
      </c>
      <c r="E293" s="15" t="n">
        <v>19800</v>
      </c>
      <c r="F293" s="4" t="s">
        <v>640</v>
      </c>
      <c r="G293" s="16" t="s">
        <v>57</v>
      </c>
      <c r="H293" s="17"/>
      <c r="I293" s="17"/>
    </row>
    <row r="294" customFormat="false" ht="15" hidden="false" customHeight="false" outlineLevel="0" collapsed="false">
      <c r="A294" s="4" t="s">
        <v>15</v>
      </c>
      <c r="B294" s="5" t="s">
        <v>13</v>
      </c>
      <c r="C294" s="5" t="s">
        <v>243</v>
      </c>
      <c r="D294" s="4" t="s">
        <v>641</v>
      </c>
      <c r="E294" s="15" t="n">
        <v>18700</v>
      </c>
      <c r="F294" s="4" t="s">
        <v>642</v>
      </c>
      <c r="G294" s="16" t="s">
        <v>57</v>
      </c>
      <c r="H294" s="17"/>
      <c r="I294" s="17"/>
    </row>
    <row r="295" customFormat="false" ht="15" hidden="false" customHeight="false" outlineLevel="0" collapsed="false">
      <c r="A295" s="4" t="s">
        <v>15</v>
      </c>
      <c r="B295" s="5" t="s">
        <v>13</v>
      </c>
      <c r="C295" s="5" t="s">
        <v>243</v>
      </c>
      <c r="D295" s="4" t="s">
        <v>643</v>
      </c>
      <c r="E295" s="15" t="n">
        <v>18700</v>
      </c>
      <c r="F295" s="4" t="s">
        <v>644</v>
      </c>
      <c r="G295" s="16" t="s">
        <v>57</v>
      </c>
      <c r="H295" s="17"/>
      <c r="I295" s="17"/>
    </row>
    <row r="296" customFormat="false" ht="15" hidden="false" customHeight="false" outlineLevel="0" collapsed="false">
      <c r="A296" s="4" t="s">
        <v>15</v>
      </c>
      <c r="B296" s="5" t="s">
        <v>13</v>
      </c>
      <c r="C296" s="5" t="s">
        <v>243</v>
      </c>
      <c r="D296" s="4" t="s">
        <v>645</v>
      </c>
      <c r="E296" s="15" t="n">
        <v>19800</v>
      </c>
      <c r="F296" s="4" t="s">
        <v>646</v>
      </c>
      <c r="G296" s="16" t="s">
        <v>57</v>
      </c>
      <c r="H296" s="17"/>
      <c r="I296" s="17"/>
    </row>
    <row r="297" customFormat="false" ht="15" hidden="false" customHeight="false" outlineLevel="0" collapsed="false">
      <c r="A297" s="4" t="s">
        <v>15</v>
      </c>
      <c r="B297" s="5" t="s">
        <v>13</v>
      </c>
      <c r="C297" s="5" t="s">
        <v>243</v>
      </c>
      <c r="D297" s="4" t="s">
        <v>647</v>
      </c>
      <c r="E297" s="15" t="n">
        <v>19800</v>
      </c>
      <c r="F297" s="4" t="s">
        <v>648</v>
      </c>
      <c r="G297" s="16" t="s">
        <v>57</v>
      </c>
      <c r="H297" s="17"/>
      <c r="I297" s="17"/>
    </row>
    <row r="298" customFormat="false" ht="15" hidden="false" customHeight="false" outlineLevel="0" collapsed="false">
      <c r="A298" s="4" t="s">
        <v>15</v>
      </c>
      <c r="B298" s="5" t="s">
        <v>13</v>
      </c>
      <c r="C298" s="5" t="s">
        <v>243</v>
      </c>
      <c r="D298" s="4" t="s">
        <v>649</v>
      </c>
      <c r="E298" s="15" t="n">
        <v>24200</v>
      </c>
      <c r="F298" s="4" t="s">
        <v>650</v>
      </c>
      <c r="G298" s="16" t="s">
        <v>57</v>
      </c>
      <c r="H298" s="17"/>
      <c r="I298" s="17"/>
    </row>
    <row r="299" customFormat="false" ht="15" hidden="false" customHeight="false" outlineLevel="0" collapsed="false">
      <c r="A299" s="4" t="s">
        <v>15</v>
      </c>
      <c r="B299" s="5" t="s">
        <v>13</v>
      </c>
      <c r="C299" s="5" t="s">
        <v>243</v>
      </c>
      <c r="D299" s="4" t="s">
        <v>651</v>
      </c>
      <c r="E299" s="15" t="n">
        <v>24200</v>
      </c>
      <c r="F299" s="4" t="s">
        <v>652</v>
      </c>
      <c r="G299" s="16" t="s">
        <v>57</v>
      </c>
      <c r="H299" s="17"/>
      <c r="I299" s="17"/>
    </row>
    <row r="300" customFormat="false" ht="15" hidden="false" customHeight="false" outlineLevel="0" collapsed="false">
      <c r="A300" s="4" t="s">
        <v>15</v>
      </c>
      <c r="B300" s="5" t="s">
        <v>13</v>
      </c>
      <c r="C300" s="5" t="s">
        <v>243</v>
      </c>
      <c r="D300" s="4" t="s">
        <v>653</v>
      </c>
      <c r="E300" s="15" t="n">
        <v>13200</v>
      </c>
      <c r="F300" s="4" t="s">
        <v>654</v>
      </c>
      <c r="G300" s="16" t="s">
        <v>57</v>
      </c>
      <c r="H300" s="17"/>
      <c r="I300" s="17"/>
    </row>
    <row r="301" customFormat="false" ht="15" hidden="false" customHeight="false" outlineLevel="0" collapsed="false">
      <c r="A301" s="4" t="s">
        <v>15</v>
      </c>
      <c r="B301" s="5" t="s">
        <v>13</v>
      </c>
      <c r="C301" s="5" t="s">
        <v>243</v>
      </c>
      <c r="D301" s="4" t="s">
        <v>655</v>
      </c>
      <c r="E301" s="15" t="n">
        <v>18700</v>
      </c>
      <c r="F301" s="4" t="s">
        <v>656</v>
      </c>
      <c r="G301" s="16" t="s">
        <v>57</v>
      </c>
      <c r="H301" s="17"/>
      <c r="I301" s="17"/>
    </row>
    <row r="302" customFormat="false" ht="15" hidden="false" customHeight="false" outlineLevel="0" collapsed="false">
      <c r="A302" s="4" t="s">
        <v>15</v>
      </c>
      <c r="B302" s="5" t="s">
        <v>13</v>
      </c>
      <c r="C302" s="5" t="s">
        <v>243</v>
      </c>
      <c r="D302" s="4" t="s">
        <v>657</v>
      </c>
      <c r="E302" s="15" t="n">
        <v>18700</v>
      </c>
      <c r="F302" s="4" t="s">
        <v>658</v>
      </c>
      <c r="G302" s="16" t="s">
        <v>57</v>
      </c>
      <c r="H302" s="17"/>
      <c r="I302" s="17"/>
    </row>
    <row r="303" customFormat="false" ht="15" hidden="false" customHeight="false" outlineLevel="0" collapsed="false">
      <c r="A303" s="4" t="s">
        <v>16</v>
      </c>
      <c r="B303" s="5" t="s">
        <v>53</v>
      </c>
      <c r="C303" s="5" t="s">
        <v>54</v>
      </c>
      <c r="D303" s="4" t="s">
        <v>659</v>
      </c>
      <c r="E303" s="15" t="n">
        <v>47300</v>
      </c>
      <c r="F303" s="4" t="s">
        <v>660</v>
      </c>
      <c r="G303" s="16" t="s">
        <v>57</v>
      </c>
      <c r="H303" s="17"/>
      <c r="I303" s="17"/>
    </row>
    <row r="304" customFormat="false" ht="15" hidden="false" customHeight="false" outlineLevel="0" collapsed="false">
      <c r="A304" s="4" t="s">
        <v>16</v>
      </c>
      <c r="B304" s="5" t="s">
        <v>53</v>
      </c>
      <c r="C304" s="5" t="s">
        <v>54</v>
      </c>
      <c r="D304" s="4" t="s">
        <v>661</v>
      </c>
      <c r="E304" s="15" t="n">
        <v>74800</v>
      </c>
      <c r="F304" s="4" t="s">
        <v>662</v>
      </c>
      <c r="G304" s="16" t="s">
        <v>57</v>
      </c>
      <c r="H304" s="17"/>
      <c r="I304" s="17"/>
    </row>
    <row r="305" customFormat="false" ht="15" hidden="false" customHeight="false" outlineLevel="0" collapsed="false">
      <c r="A305" s="4" t="s">
        <v>16</v>
      </c>
      <c r="B305" s="5" t="s">
        <v>53</v>
      </c>
      <c r="C305" s="5" t="s">
        <v>54</v>
      </c>
      <c r="D305" s="4" t="s">
        <v>663</v>
      </c>
      <c r="E305" s="15" t="n">
        <v>66000</v>
      </c>
      <c r="F305" s="4" t="s">
        <v>664</v>
      </c>
      <c r="G305" s="16" t="s">
        <v>57</v>
      </c>
      <c r="H305" s="17"/>
      <c r="I305" s="17"/>
    </row>
    <row r="306" customFormat="false" ht="15" hidden="false" customHeight="false" outlineLevel="0" collapsed="false">
      <c r="A306" s="4" t="s">
        <v>16</v>
      </c>
      <c r="B306" s="5" t="s">
        <v>53</v>
      </c>
      <c r="C306" s="5" t="s">
        <v>54</v>
      </c>
      <c r="D306" s="4" t="s">
        <v>665</v>
      </c>
      <c r="E306" s="15" t="n">
        <v>16500</v>
      </c>
      <c r="F306" s="4" t="s">
        <v>666</v>
      </c>
      <c r="G306" s="16" t="s">
        <v>57</v>
      </c>
      <c r="H306" s="17"/>
      <c r="I306" s="17"/>
    </row>
    <row r="307" customFormat="false" ht="15" hidden="false" customHeight="false" outlineLevel="0" collapsed="false">
      <c r="A307" s="4" t="s">
        <v>16</v>
      </c>
      <c r="B307" s="5" t="s">
        <v>53</v>
      </c>
      <c r="C307" s="5" t="s">
        <v>54</v>
      </c>
      <c r="D307" s="4" t="s">
        <v>667</v>
      </c>
      <c r="E307" s="15" t="n">
        <v>36300</v>
      </c>
      <c r="F307" s="4" t="s">
        <v>668</v>
      </c>
      <c r="G307" s="16" t="s">
        <v>57</v>
      </c>
      <c r="H307" s="17"/>
      <c r="I307" s="17"/>
    </row>
    <row r="308" customFormat="false" ht="15" hidden="false" customHeight="false" outlineLevel="0" collapsed="false">
      <c r="A308" s="4" t="s">
        <v>16</v>
      </c>
      <c r="B308" s="5" t="s">
        <v>53</v>
      </c>
      <c r="C308" s="5" t="s">
        <v>54</v>
      </c>
      <c r="D308" s="4" t="s">
        <v>669</v>
      </c>
      <c r="E308" s="15" t="n">
        <v>27500</v>
      </c>
      <c r="F308" s="4" t="s">
        <v>670</v>
      </c>
      <c r="G308" s="16" t="s">
        <v>57</v>
      </c>
      <c r="H308" s="17"/>
      <c r="I308" s="17"/>
    </row>
    <row r="309" customFormat="false" ht="15" hidden="false" customHeight="false" outlineLevel="0" collapsed="false">
      <c r="A309" s="4" t="s">
        <v>16</v>
      </c>
      <c r="B309" s="5" t="s">
        <v>53</v>
      </c>
      <c r="C309" s="5" t="s">
        <v>54</v>
      </c>
      <c r="D309" s="4" t="s">
        <v>671</v>
      </c>
      <c r="E309" s="15" t="n">
        <v>27500</v>
      </c>
      <c r="F309" s="4" t="s">
        <v>672</v>
      </c>
      <c r="G309" s="16" t="s">
        <v>57</v>
      </c>
      <c r="H309" s="17"/>
      <c r="I309" s="17"/>
    </row>
    <row r="310" customFormat="false" ht="15" hidden="false" customHeight="false" outlineLevel="0" collapsed="false">
      <c r="A310" s="4" t="s">
        <v>16</v>
      </c>
      <c r="B310" s="5" t="s">
        <v>53</v>
      </c>
      <c r="C310" s="5" t="s">
        <v>54</v>
      </c>
      <c r="D310" s="4" t="s">
        <v>673</v>
      </c>
      <c r="E310" s="15" t="n">
        <v>33000</v>
      </c>
      <c r="F310" s="4" t="s">
        <v>674</v>
      </c>
      <c r="G310" s="16" t="s">
        <v>57</v>
      </c>
      <c r="H310" s="17"/>
      <c r="I310" s="17"/>
    </row>
    <row r="311" customFormat="false" ht="15" hidden="false" customHeight="false" outlineLevel="0" collapsed="false">
      <c r="A311" s="4" t="s">
        <v>16</v>
      </c>
      <c r="B311" s="5" t="s">
        <v>53</v>
      </c>
      <c r="C311" s="5" t="s">
        <v>54</v>
      </c>
      <c r="D311" s="4" t="s">
        <v>675</v>
      </c>
      <c r="E311" s="15" t="n">
        <v>47300</v>
      </c>
      <c r="F311" s="4" t="s">
        <v>676</v>
      </c>
      <c r="G311" s="16" t="s">
        <v>57</v>
      </c>
      <c r="H311" s="17"/>
      <c r="I311" s="17"/>
    </row>
    <row r="312" customFormat="false" ht="15" hidden="false" customHeight="false" outlineLevel="0" collapsed="false">
      <c r="A312" s="4" t="s">
        <v>16</v>
      </c>
      <c r="B312" s="5" t="s">
        <v>53</v>
      </c>
      <c r="C312" s="5" t="s">
        <v>54</v>
      </c>
      <c r="D312" s="4" t="s">
        <v>677</v>
      </c>
      <c r="E312" s="15" t="n">
        <v>37400</v>
      </c>
      <c r="F312" s="4" t="s">
        <v>678</v>
      </c>
      <c r="G312" s="16" t="s">
        <v>57</v>
      </c>
      <c r="H312" s="17"/>
      <c r="I312" s="17"/>
    </row>
    <row r="313" customFormat="false" ht="15" hidden="false" customHeight="false" outlineLevel="0" collapsed="false">
      <c r="A313" s="4" t="s">
        <v>16</v>
      </c>
      <c r="B313" s="5" t="s">
        <v>53</v>
      </c>
      <c r="C313" s="5" t="s">
        <v>54</v>
      </c>
      <c r="D313" s="4" t="s">
        <v>679</v>
      </c>
      <c r="E313" s="15" t="n">
        <v>36300</v>
      </c>
      <c r="F313" s="4" t="s">
        <v>680</v>
      </c>
      <c r="G313" s="16" t="s">
        <v>57</v>
      </c>
      <c r="H313" s="17"/>
      <c r="I313" s="17"/>
    </row>
    <row r="314" customFormat="false" ht="15" hidden="false" customHeight="false" outlineLevel="0" collapsed="false">
      <c r="A314" s="4" t="s">
        <v>16</v>
      </c>
      <c r="B314" s="5" t="s">
        <v>53</v>
      </c>
      <c r="C314" s="5" t="s">
        <v>54</v>
      </c>
      <c r="D314" s="4" t="s">
        <v>681</v>
      </c>
      <c r="E314" s="15" t="n">
        <v>3300</v>
      </c>
      <c r="F314" s="4" t="s">
        <v>682</v>
      </c>
      <c r="G314" s="16" t="s">
        <v>57</v>
      </c>
      <c r="H314" s="17"/>
      <c r="I314" s="17"/>
    </row>
    <row r="315" customFormat="false" ht="15" hidden="false" customHeight="false" outlineLevel="0" collapsed="false">
      <c r="A315" s="4" t="s">
        <v>16</v>
      </c>
      <c r="B315" s="5" t="s">
        <v>53</v>
      </c>
      <c r="C315" s="5" t="s">
        <v>54</v>
      </c>
      <c r="D315" s="4" t="s">
        <v>683</v>
      </c>
      <c r="E315" s="15" t="n">
        <v>36300</v>
      </c>
      <c r="F315" s="4" t="s">
        <v>684</v>
      </c>
      <c r="G315" s="16" t="s">
        <v>57</v>
      </c>
      <c r="H315" s="17"/>
      <c r="I315" s="17"/>
    </row>
    <row r="316" customFormat="false" ht="15" hidden="false" customHeight="false" outlineLevel="0" collapsed="false">
      <c r="A316" s="4" t="s">
        <v>16</v>
      </c>
      <c r="B316" s="5" t="s">
        <v>53</v>
      </c>
      <c r="C316" s="5" t="s">
        <v>54</v>
      </c>
      <c r="D316" s="4" t="s">
        <v>685</v>
      </c>
      <c r="E316" s="15" t="n">
        <v>41800</v>
      </c>
      <c r="F316" s="4" t="s">
        <v>686</v>
      </c>
      <c r="G316" s="16" t="s">
        <v>57</v>
      </c>
      <c r="H316" s="17"/>
      <c r="I316" s="17"/>
    </row>
    <row r="317" customFormat="false" ht="15" hidden="false" customHeight="false" outlineLevel="0" collapsed="false">
      <c r="A317" s="4" t="s">
        <v>16</v>
      </c>
      <c r="B317" s="5" t="s">
        <v>53</v>
      </c>
      <c r="C317" s="5" t="s">
        <v>54</v>
      </c>
      <c r="D317" s="4" t="s">
        <v>687</v>
      </c>
      <c r="E317" s="15" t="n">
        <v>30800</v>
      </c>
      <c r="F317" s="4" t="s">
        <v>688</v>
      </c>
      <c r="G317" s="16" t="s">
        <v>57</v>
      </c>
      <c r="H317" s="17"/>
      <c r="I317" s="17"/>
    </row>
    <row r="318" customFormat="false" ht="15" hidden="false" customHeight="false" outlineLevel="0" collapsed="false">
      <c r="A318" s="4" t="s">
        <v>16</v>
      </c>
      <c r="B318" s="5" t="s">
        <v>53</v>
      </c>
      <c r="C318" s="5" t="s">
        <v>54</v>
      </c>
      <c r="D318" s="4" t="s">
        <v>689</v>
      </c>
      <c r="E318" s="15" t="n">
        <v>15400</v>
      </c>
      <c r="F318" s="4" t="s">
        <v>690</v>
      </c>
      <c r="G318" s="16" t="s">
        <v>57</v>
      </c>
      <c r="H318" s="17"/>
      <c r="I318" s="17"/>
    </row>
    <row r="319" customFormat="false" ht="15" hidden="false" customHeight="false" outlineLevel="0" collapsed="false">
      <c r="A319" s="4" t="s">
        <v>16</v>
      </c>
      <c r="B319" s="5" t="s">
        <v>53</v>
      </c>
      <c r="C319" s="5" t="s">
        <v>54</v>
      </c>
      <c r="D319" s="4" t="s">
        <v>691</v>
      </c>
      <c r="E319" s="15" t="n">
        <v>4400</v>
      </c>
      <c r="F319" s="4" t="s">
        <v>692</v>
      </c>
      <c r="G319" s="16" t="s">
        <v>57</v>
      </c>
      <c r="H319" s="17"/>
      <c r="I319" s="17"/>
    </row>
    <row r="320" customFormat="false" ht="15" hidden="false" customHeight="false" outlineLevel="0" collapsed="false">
      <c r="A320" s="4" t="s">
        <v>16</v>
      </c>
      <c r="B320" s="5" t="s">
        <v>53</v>
      </c>
      <c r="C320" s="5" t="s">
        <v>54</v>
      </c>
      <c r="D320" s="4" t="s">
        <v>693</v>
      </c>
      <c r="E320" s="15" t="n">
        <v>8800</v>
      </c>
      <c r="F320" s="4" t="s">
        <v>694</v>
      </c>
      <c r="G320" s="16" t="s">
        <v>57</v>
      </c>
      <c r="H320" s="17"/>
      <c r="I320" s="17"/>
    </row>
    <row r="321" customFormat="false" ht="15" hidden="false" customHeight="false" outlineLevel="0" collapsed="false">
      <c r="A321" s="4" t="s">
        <v>16</v>
      </c>
      <c r="B321" s="5" t="s">
        <v>53</v>
      </c>
      <c r="C321" s="5" t="s">
        <v>54</v>
      </c>
      <c r="D321" s="4" t="s">
        <v>695</v>
      </c>
      <c r="E321" s="15" t="n">
        <v>103400</v>
      </c>
      <c r="F321" s="4" t="s">
        <v>696</v>
      </c>
      <c r="G321" s="16" t="s">
        <v>57</v>
      </c>
      <c r="H321" s="17"/>
      <c r="I321" s="17"/>
    </row>
    <row r="322" customFormat="false" ht="15" hidden="false" customHeight="false" outlineLevel="0" collapsed="false">
      <c r="A322" s="4" t="s">
        <v>16</v>
      </c>
      <c r="B322" s="5" t="s">
        <v>53</v>
      </c>
      <c r="C322" s="5" t="s">
        <v>54</v>
      </c>
      <c r="D322" s="4" t="s">
        <v>697</v>
      </c>
      <c r="E322" s="15" t="n">
        <v>23100</v>
      </c>
      <c r="F322" s="4" t="s">
        <v>698</v>
      </c>
      <c r="G322" s="16" t="s">
        <v>57</v>
      </c>
      <c r="H322" s="17"/>
      <c r="I322" s="17"/>
    </row>
    <row r="323" customFormat="false" ht="15" hidden="false" customHeight="false" outlineLevel="0" collapsed="false">
      <c r="A323" s="4" t="s">
        <v>16</v>
      </c>
      <c r="B323" s="5" t="s">
        <v>53</v>
      </c>
      <c r="C323" s="5" t="s">
        <v>54</v>
      </c>
      <c r="D323" s="4" t="s">
        <v>699</v>
      </c>
      <c r="E323" s="15" t="n">
        <v>13200</v>
      </c>
      <c r="F323" s="4" t="s">
        <v>700</v>
      </c>
      <c r="G323" s="16" t="s">
        <v>57</v>
      </c>
      <c r="H323" s="17"/>
      <c r="I323" s="17"/>
    </row>
    <row r="324" customFormat="false" ht="15" hidden="false" customHeight="false" outlineLevel="0" collapsed="false">
      <c r="A324" s="4" t="s">
        <v>16</v>
      </c>
      <c r="B324" s="5" t="s">
        <v>53</v>
      </c>
      <c r="C324" s="5" t="s">
        <v>54</v>
      </c>
      <c r="D324" s="4" t="s">
        <v>701</v>
      </c>
      <c r="E324" s="15" t="n">
        <v>41800</v>
      </c>
      <c r="F324" s="4" t="s">
        <v>702</v>
      </c>
      <c r="G324" s="16" t="s">
        <v>57</v>
      </c>
      <c r="H324" s="17"/>
      <c r="I324" s="17"/>
    </row>
    <row r="325" customFormat="false" ht="15" hidden="false" customHeight="false" outlineLevel="0" collapsed="false">
      <c r="A325" s="4" t="s">
        <v>16</v>
      </c>
      <c r="B325" s="5" t="s">
        <v>53</v>
      </c>
      <c r="C325" s="5" t="s">
        <v>54</v>
      </c>
      <c r="D325" s="4" t="s">
        <v>703</v>
      </c>
      <c r="E325" s="15" t="n">
        <v>41800</v>
      </c>
      <c r="F325" s="4" t="s">
        <v>704</v>
      </c>
      <c r="G325" s="16" t="s">
        <v>57</v>
      </c>
      <c r="H325" s="17"/>
      <c r="I325" s="17"/>
    </row>
    <row r="326" customFormat="false" ht="15" hidden="false" customHeight="false" outlineLevel="0" collapsed="false">
      <c r="A326" s="4" t="s">
        <v>16</v>
      </c>
      <c r="B326" s="5" t="s">
        <v>53</v>
      </c>
      <c r="C326" s="5" t="s">
        <v>54</v>
      </c>
      <c r="D326" s="4" t="s">
        <v>705</v>
      </c>
      <c r="E326" s="15" t="n">
        <v>17600</v>
      </c>
      <c r="F326" s="4" t="s">
        <v>706</v>
      </c>
      <c r="G326" s="16" t="s">
        <v>57</v>
      </c>
      <c r="H326" s="17"/>
      <c r="I326" s="17"/>
    </row>
    <row r="327" customFormat="false" ht="15" hidden="false" customHeight="false" outlineLevel="0" collapsed="false">
      <c r="A327" s="4" t="s">
        <v>16</v>
      </c>
      <c r="B327" s="5" t="s">
        <v>53</v>
      </c>
      <c r="C327" s="5" t="s">
        <v>54</v>
      </c>
      <c r="D327" s="4" t="s">
        <v>707</v>
      </c>
      <c r="E327" s="15" t="n">
        <v>20900</v>
      </c>
      <c r="F327" s="4" t="s">
        <v>708</v>
      </c>
      <c r="G327" s="16" t="s">
        <v>57</v>
      </c>
      <c r="H327" s="17"/>
      <c r="I327" s="17"/>
    </row>
    <row r="328" customFormat="false" ht="15" hidden="false" customHeight="false" outlineLevel="0" collapsed="false">
      <c r="A328" s="4" t="s">
        <v>16</v>
      </c>
      <c r="B328" s="5" t="s">
        <v>53</v>
      </c>
      <c r="C328" s="5" t="s">
        <v>54</v>
      </c>
      <c r="D328" s="4" t="s">
        <v>709</v>
      </c>
      <c r="E328" s="15" t="n">
        <v>82500</v>
      </c>
      <c r="F328" s="4" t="s">
        <v>710</v>
      </c>
      <c r="G328" s="16" t="s">
        <v>57</v>
      </c>
      <c r="H328" s="17"/>
      <c r="I328" s="17"/>
    </row>
    <row r="329" customFormat="false" ht="15" hidden="false" customHeight="false" outlineLevel="0" collapsed="false">
      <c r="A329" s="4" t="s">
        <v>16</v>
      </c>
      <c r="B329" s="5" t="s">
        <v>53</v>
      </c>
      <c r="C329" s="5" t="s">
        <v>54</v>
      </c>
      <c r="D329" s="4" t="s">
        <v>711</v>
      </c>
      <c r="E329" s="15" t="n">
        <v>30800</v>
      </c>
      <c r="F329" s="4" t="s">
        <v>712</v>
      </c>
      <c r="G329" s="16" t="s">
        <v>57</v>
      </c>
      <c r="H329" s="17"/>
      <c r="I329" s="17"/>
    </row>
    <row r="330" customFormat="false" ht="15" hidden="false" customHeight="false" outlineLevel="0" collapsed="false">
      <c r="A330" s="4" t="s">
        <v>16</v>
      </c>
      <c r="B330" s="5" t="s">
        <v>53</v>
      </c>
      <c r="C330" s="5" t="s">
        <v>54</v>
      </c>
      <c r="D330" s="4" t="s">
        <v>713</v>
      </c>
      <c r="E330" s="15" t="n">
        <v>15400</v>
      </c>
      <c r="F330" s="4" t="s">
        <v>714</v>
      </c>
      <c r="G330" s="16" t="s">
        <v>57</v>
      </c>
      <c r="H330" s="17"/>
      <c r="I330" s="17"/>
    </row>
    <row r="331" customFormat="false" ht="15" hidden="false" customHeight="false" outlineLevel="0" collapsed="false">
      <c r="A331" s="4" t="s">
        <v>16</v>
      </c>
      <c r="B331" s="5" t="s">
        <v>53</v>
      </c>
      <c r="C331" s="5" t="s">
        <v>54</v>
      </c>
      <c r="D331" s="4" t="s">
        <v>715</v>
      </c>
      <c r="E331" s="15" t="n">
        <v>44000</v>
      </c>
      <c r="F331" s="4" t="s">
        <v>716</v>
      </c>
      <c r="G331" s="16" t="s">
        <v>57</v>
      </c>
      <c r="H331" s="17"/>
      <c r="I331" s="17"/>
    </row>
    <row r="332" customFormat="false" ht="15" hidden="false" customHeight="false" outlineLevel="0" collapsed="false">
      <c r="A332" s="4" t="s">
        <v>16</v>
      </c>
      <c r="B332" s="5" t="s">
        <v>53</v>
      </c>
      <c r="C332" s="5" t="s">
        <v>54</v>
      </c>
      <c r="D332" s="4" t="s">
        <v>717</v>
      </c>
      <c r="E332" s="15" t="n">
        <v>50600</v>
      </c>
      <c r="F332" s="4" t="s">
        <v>718</v>
      </c>
      <c r="G332" s="16" t="s">
        <v>57</v>
      </c>
      <c r="H332" s="17"/>
      <c r="I332" s="17"/>
    </row>
    <row r="333" customFormat="false" ht="15" hidden="false" customHeight="false" outlineLevel="0" collapsed="false">
      <c r="A333" s="4" t="s">
        <v>16</v>
      </c>
      <c r="B333" s="5" t="s">
        <v>53</v>
      </c>
      <c r="C333" s="5" t="s">
        <v>54</v>
      </c>
      <c r="D333" s="4" t="s">
        <v>719</v>
      </c>
      <c r="E333" s="15" t="n">
        <v>103400</v>
      </c>
      <c r="F333" s="4" t="s">
        <v>720</v>
      </c>
      <c r="G333" s="16" t="s">
        <v>57</v>
      </c>
      <c r="H333" s="17"/>
      <c r="I333" s="17"/>
    </row>
    <row r="334" customFormat="false" ht="15" hidden="false" customHeight="false" outlineLevel="0" collapsed="false">
      <c r="A334" s="4" t="s">
        <v>16</v>
      </c>
      <c r="B334" s="5" t="s">
        <v>53</v>
      </c>
      <c r="C334" s="5" t="s">
        <v>54</v>
      </c>
      <c r="D334" s="4" t="s">
        <v>721</v>
      </c>
      <c r="E334" s="15" t="n">
        <v>28600</v>
      </c>
      <c r="F334" s="4" t="s">
        <v>722</v>
      </c>
      <c r="G334" s="16" t="s">
        <v>57</v>
      </c>
      <c r="H334" s="17"/>
      <c r="I334" s="17"/>
    </row>
    <row r="335" customFormat="false" ht="15" hidden="false" customHeight="false" outlineLevel="0" collapsed="false">
      <c r="A335" s="4" t="s">
        <v>16</v>
      </c>
      <c r="B335" s="5" t="s">
        <v>53</v>
      </c>
      <c r="C335" s="5" t="s">
        <v>54</v>
      </c>
      <c r="D335" s="4" t="s">
        <v>723</v>
      </c>
      <c r="E335" s="15" t="n">
        <v>44000</v>
      </c>
      <c r="F335" s="4" t="s">
        <v>724</v>
      </c>
      <c r="G335" s="16" t="s">
        <v>57</v>
      </c>
      <c r="H335" s="17"/>
      <c r="I335" s="17"/>
    </row>
    <row r="336" customFormat="false" ht="15" hidden="false" customHeight="false" outlineLevel="0" collapsed="false">
      <c r="A336" s="4" t="s">
        <v>16</v>
      </c>
      <c r="B336" s="5" t="s">
        <v>53</v>
      </c>
      <c r="C336" s="5" t="s">
        <v>54</v>
      </c>
      <c r="D336" s="4" t="s">
        <v>725</v>
      </c>
      <c r="E336" s="15" t="n">
        <v>38500</v>
      </c>
      <c r="F336" s="4" t="s">
        <v>726</v>
      </c>
      <c r="G336" s="16" t="s">
        <v>57</v>
      </c>
      <c r="H336" s="17"/>
      <c r="I336" s="17"/>
    </row>
    <row r="337" customFormat="false" ht="15" hidden="false" customHeight="false" outlineLevel="0" collapsed="false">
      <c r="A337" s="4" t="s">
        <v>16</v>
      </c>
      <c r="B337" s="5" t="s">
        <v>53</v>
      </c>
      <c r="C337" s="5" t="s">
        <v>54</v>
      </c>
      <c r="D337" s="4" t="s">
        <v>727</v>
      </c>
      <c r="E337" s="15" t="n">
        <v>13200</v>
      </c>
      <c r="F337" s="4" t="s">
        <v>728</v>
      </c>
      <c r="G337" s="16" t="s">
        <v>57</v>
      </c>
      <c r="H337" s="17"/>
      <c r="I337" s="17"/>
    </row>
    <row r="338" customFormat="false" ht="15" hidden="false" customHeight="false" outlineLevel="0" collapsed="false">
      <c r="A338" s="4" t="s">
        <v>16</v>
      </c>
      <c r="B338" s="5" t="s">
        <v>53</v>
      </c>
      <c r="C338" s="5" t="s">
        <v>54</v>
      </c>
      <c r="D338" s="4" t="s">
        <v>729</v>
      </c>
      <c r="E338" s="15" t="n">
        <v>26400</v>
      </c>
      <c r="F338" s="4" t="s">
        <v>730</v>
      </c>
      <c r="G338" s="16" t="s">
        <v>57</v>
      </c>
      <c r="H338" s="17"/>
      <c r="I338" s="17"/>
    </row>
    <row r="339" customFormat="false" ht="15" hidden="false" customHeight="false" outlineLevel="0" collapsed="false">
      <c r="A339" s="4" t="s">
        <v>16</v>
      </c>
      <c r="B339" s="5" t="s">
        <v>53</v>
      </c>
      <c r="C339" s="5" t="s">
        <v>54</v>
      </c>
      <c r="D339" s="4" t="s">
        <v>731</v>
      </c>
      <c r="E339" s="15" t="n">
        <v>7700</v>
      </c>
      <c r="F339" s="4" t="s">
        <v>732</v>
      </c>
      <c r="G339" s="16" t="s">
        <v>57</v>
      </c>
      <c r="H339" s="17"/>
      <c r="I339" s="17"/>
    </row>
    <row r="340" customFormat="false" ht="15" hidden="false" customHeight="false" outlineLevel="0" collapsed="false">
      <c r="A340" s="4" t="s">
        <v>16</v>
      </c>
      <c r="B340" s="5" t="s">
        <v>53</v>
      </c>
      <c r="C340" s="5" t="s">
        <v>54</v>
      </c>
      <c r="D340" s="4" t="s">
        <v>733</v>
      </c>
      <c r="E340" s="15" t="n">
        <v>7150</v>
      </c>
      <c r="F340" s="4" t="s">
        <v>734</v>
      </c>
      <c r="G340" s="16" t="s">
        <v>57</v>
      </c>
      <c r="H340" s="17"/>
      <c r="I340" s="17"/>
    </row>
    <row r="341" customFormat="false" ht="15" hidden="false" customHeight="false" outlineLevel="0" collapsed="false">
      <c r="A341" s="4" t="s">
        <v>16</v>
      </c>
      <c r="B341" s="5" t="s">
        <v>53</v>
      </c>
      <c r="C341" s="5" t="s">
        <v>54</v>
      </c>
      <c r="D341" s="4" t="s">
        <v>735</v>
      </c>
      <c r="E341" s="15" t="n">
        <v>7150</v>
      </c>
      <c r="F341" s="4" t="s">
        <v>736</v>
      </c>
      <c r="G341" s="16" t="s">
        <v>57</v>
      </c>
      <c r="H341" s="17"/>
      <c r="I341" s="17"/>
    </row>
    <row r="342" customFormat="false" ht="15" hidden="false" customHeight="false" outlineLevel="0" collapsed="false">
      <c r="A342" s="4" t="s">
        <v>16</v>
      </c>
      <c r="B342" s="5" t="s">
        <v>53</v>
      </c>
      <c r="C342" s="5" t="s">
        <v>54</v>
      </c>
      <c r="D342" s="4" t="s">
        <v>737</v>
      </c>
      <c r="E342" s="15" t="n">
        <v>7150</v>
      </c>
      <c r="F342" s="4" t="s">
        <v>738</v>
      </c>
      <c r="G342" s="16" t="s">
        <v>57</v>
      </c>
      <c r="H342" s="17"/>
      <c r="I342" s="17"/>
    </row>
    <row r="343" customFormat="false" ht="15" hidden="false" customHeight="false" outlineLevel="0" collapsed="false">
      <c r="A343" s="4" t="s">
        <v>16</v>
      </c>
      <c r="B343" s="5" t="s">
        <v>53</v>
      </c>
      <c r="C343" s="5" t="s">
        <v>54</v>
      </c>
      <c r="D343" s="4" t="s">
        <v>739</v>
      </c>
      <c r="E343" s="15" t="n">
        <v>7150</v>
      </c>
      <c r="F343" s="4" t="s">
        <v>740</v>
      </c>
      <c r="G343" s="16" t="s">
        <v>57</v>
      </c>
      <c r="H343" s="17"/>
      <c r="I343" s="17"/>
    </row>
    <row r="344" customFormat="false" ht="15" hidden="false" customHeight="false" outlineLevel="0" collapsed="false">
      <c r="A344" s="4" t="s">
        <v>16</v>
      </c>
      <c r="B344" s="5" t="s">
        <v>53</v>
      </c>
      <c r="C344" s="5" t="s">
        <v>54</v>
      </c>
      <c r="D344" s="4" t="s">
        <v>741</v>
      </c>
      <c r="E344" s="15" t="n">
        <v>6600</v>
      </c>
      <c r="F344" s="4" t="s">
        <v>742</v>
      </c>
      <c r="G344" s="16" t="s">
        <v>57</v>
      </c>
      <c r="H344" s="17"/>
      <c r="I344" s="17"/>
    </row>
    <row r="345" customFormat="false" ht="15" hidden="false" customHeight="false" outlineLevel="0" collapsed="false">
      <c r="A345" s="4" t="s">
        <v>16</v>
      </c>
      <c r="B345" s="5" t="s">
        <v>53</v>
      </c>
      <c r="C345" s="5" t="s">
        <v>54</v>
      </c>
      <c r="D345" s="4" t="s">
        <v>743</v>
      </c>
      <c r="E345" s="15" t="n">
        <v>15400</v>
      </c>
      <c r="F345" s="4" t="s">
        <v>744</v>
      </c>
      <c r="G345" s="16" t="s">
        <v>57</v>
      </c>
      <c r="H345" s="17"/>
      <c r="I345" s="17"/>
    </row>
    <row r="346" customFormat="false" ht="15" hidden="false" customHeight="false" outlineLevel="0" collapsed="false">
      <c r="A346" s="4" t="s">
        <v>16</v>
      </c>
      <c r="B346" s="5" t="s">
        <v>53</v>
      </c>
      <c r="C346" s="5" t="s">
        <v>54</v>
      </c>
      <c r="D346" s="4" t="s">
        <v>745</v>
      </c>
      <c r="E346" s="15" t="n">
        <v>7150</v>
      </c>
      <c r="F346" s="4" t="s">
        <v>746</v>
      </c>
      <c r="G346" s="16" t="s">
        <v>57</v>
      </c>
      <c r="H346" s="17"/>
      <c r="I346" s="17"/>
    </row>
    <row r="347" customFormat="false" ht="15" hidden="false" customHeight="false" outlineLevel="0" collapsed="false">
      <c r="A347" s="4" t="s">
        <v>16</v>
      </c>
      <c r="B347" s="5" t="s">
        <v>53</v>
      </c>
      <c r="C347" s="5" t="s">
        <v>54</v>
      </c>
      <c r="D347" s="4" t="s">
        <v>747</v>
      </c>
      <c r="E347" s="15" t="n">
        <v>6050</v>
      </c>
      <c r="F347" s="4" t="s">
        <v>748</v>
      </c>
      <c r="G347" s="16" t="s">
        <v>57</v>
      </c>
      <c r="H347" s="17"/>
      <c r="I347" s="17"/>
    </row>
    <row r="348" customFormat="false" ht="15" hidden="false" customHeight="false" outlineLevel="0" collapsed="false">
      <c r="A348" s="4" t="s">
        <v>16</v>
      </c>
      <c r="B348" s="5" t="s">
        <v>53</v>
      </c>
      <c r="C348" s="5" t="s">
        <v>54</v>
      </c>
      <c r="D348" s="4" t="s">
        <v>749</v>
      </c>
      <c r="E348" s="15" t="n">
        <v>17600</v>
      </c>
      <c r="F348" s="4" t="s">
        <v>750</v>
      </c>
      <c r="G348" s="16" t="s">
        <v>57</v>
      </c>
      <c r="H348" s="17"/>
      <c r="I348" s="17"/>
    </row>
    <row r="349" customFormat="false" ht="15" hidden="false" customHeight="false" outlineLevel="0" collapsed="false">
      <c r="A349" s="4" t="s">
        <v>16</v>
      </c>
      <c r="B349" s="5" t="s">
        <v>53</v>
      </c>
      <c r="C349" s="5" t="s">
        <v>54</v>
      </c>
      <c r="D349" s="4" t="s">
        <v>751</v>
      </c>
      <c r="E349" s="15" t="n">
        <v>20900</v>
      </c>
      <c r="F349" s="4" t="s">
        <v>752</v>
      </c>
      <c r="G349" s="16" t="s">
        <v>57</v>
      </c>
      <c r="H349" s="17"/>
      <c r="I349" s="17"/>
    </row>
    <row r="350" customFormat="false" ht="15" hidden="false" customHeight="false" outlineLevel="0" collapsed="false">
      <c r="A350" s="4" t="s">
        <v>16</v>
      </c>
      <c r="B350" s="5" t="s">
        <v>53</v>
      </c>
      <c r="C350" s="5" t="s">
        <v>54</v>
      </c>
      <c r="D350" s="4" t="s">
        <v>753</v>
      </c>
      <c r="E350" s="15" t="n">
        <v>7150</v>
      </c>
      <c r="F350" s="4" t="s">
        <v>754</v>
      </c>
      <c r="G350" s="16" t="s">
        <v>57</v>
      </c>
      <c r="H350" s="17"/>
      <c r="I350" s="17"/>
    </row>
    <row r="351" customFormat="false" ht="15" hidden="false" customHeight="false" outlineLevel="0" collapsed="false">
      <c r="A351" s="4" t="s">
        <v>16</v>
      </c>
      <c r="B351" s="5" t="s">
        <v>53</v>
      </c>
      <c r="C351" s="5" t="s">
        <v>54</v>
      </c>
      <c r="D351" s="4" t="s">
        <v>755</v>
      </c>
      <c r="E351" s="15" t="n">
        <v>33000</v>
      </c>
      <c r="F351" s="4" t="s">
        <v>756</v>
      </c>
      <c r="G351" s="16" t="s">
        <v>57</v>
      </c>
      <c r="H351" s="17"/>
      <c r="I351" s="17"/>
    </row>
    <row r="352" customFormat="false" ht="15" hidden="false" customHeight="false" outlineLevel="0" collapsed="false">
      <c r="A352" s="4" t="s">
        <v>16</v>
      </c>
      <c r="B352" s="5" t="s">
        <v>53</v>
      </c>
      <c r="C352" s="5" t="s">
        <v>54</v>
      </c>
      <c r="D352" s="4" t="s">
        <v>757</v>
      </c>
      <c r="E352" s="15" t="n">
        <v>13200</v>
      </c>
      <c r="F352" s="4" t="s">
        <v>758</v>
      </c>
      <c r="G352" s="16" t="s">
        <v>57</v>
      </c>
      <c r="H352" s="17"/>
      <c r="I352" s="17"/>
    </row>
    <row r="353" customFormat="false" ht="15" hidden="false" customHeight="false" outlineLevel="0" collapsed="false">
      <c r="A353" s="4" t="s">
        <v>16</v>
      </c>
      <c r="B353" s="5" t="s">
        <v>53</v>
      </c>
      <c r="C353" s="5" t="s">
        <v>54</v>
      </c>
      <c r="D353" s="4" t="s">
        <v>759</v>
      </c>
      <c r="E353" s="15" t="n">
        <v>44000</v>
      </c>
      <c r="F353" s="4" t="s">
        <v>760</v>
      </c>
      <c r="G353" s="16" t="s">
        <v>57</v>
      </c>
      <c r="H353" s="17"/>
      <c r="I353" s="17"/>
    </row>
    <row r="354" customFormat="false" ht="15" hidden="false" customHeight="false" outlineLevel="0" collapsed="false">
      <c r="A354" s="4" t="s">
        <v>16</v>
      </c>
      <c r="B354" s="5" t="s">
        <v>53</v>
      </c>
      <c r="C354" s="5" t="s">
        <v>54</v>
      </c>
      <c r="D354" s="4" t="s">
        <v>761</v>
      </c>
      <c r="E354" s="15" t="n">
        <v>44000</v>
      </c>
      <c r="F354" s="4" t="s">
        <v>762</v>
      </c>
      <c r="G354" s="16" t="s">
        <v>57</v>
      </c>
      <c r="H354" s="17"/>
      <c r="I354" s="17"/>
    </row>
    <row r="355" customFormat="false" ht="15" hidden="false" customHeight="false" outlineLevel="0" collapsed="false">
      <c r="A355" s="4" t="s">
        <v>16</v>
      </c>
      <c r="B355" s="5" t="s">
        <v>53</v>
      </c>
      <c r="C355" s="5" t="s">
        <v>54</v>
      </c>
      <c r="D355" s="4" t="s">
        <v>763</v>
      </c>
      <c r="E355" s="15" t="n">
        <v>93500</v>
      </c>
      <c r="F355" s="4" t="s">
        <v>764</v>
      </c>
      <c r="G355" s="16" t="s">
        <v>57</v>
      </c>
      <c r="H355" s="17"/>
      <c r="I355" s="17"/>
    </row>
    <row r="356" customFormat="false" ht="15" hidden="false" customHeight="false" outlineLevel="0" collapsed="false">
      <c r="A356" s="4" t="s">
        <v>16</v>
      </c>
      <c r="B356" s="5" t="s">
        <v>53</v>
      </c>
      <c r="C356" s="5" t="s">
        <v>54</v>
      </c>
      <c r="D356" s="4" t="s">
        <v>765</v>
      </c>
      <c r="E356" s="15" t="n">
        <v>55000</v>
      </c>
      <c r="F356" s="4" t="s">
        <v>766</v>
      </c>
      <c r="G356" s="16" t="s">
        <v>57</v>
      </c>
      <c r="H356" s="17"/>
      <c r="I356" s="17"/>
    </row>
    <row r="357" customFormat="false" ht="15" hidden="false" customHeight="false" outlineLevel="0" collapsed="false">
      <c r="A357" s="4" t="s">
        <v>16</v>
      </c>
      <c r="B357" s="5" t="s">
        <v>53</v>
      </c>
      <c r="C357" s="5" t="s">
        <v>54</v>
      </c>
      <c r="D357" s="4" t="s">
        <v>767</v>
      </c>
      <c r="E357" s="15" t="n">
        <v>2200</v>
      </c>
      <c r="F357" s="4" t="s">
        <v>768</v>
      </c>
      <c r="G357" s="16" t="s">
        <v>57</v>
      </c>
      <c r="H357" s="17"/>
      <c r="I357" s="17"/>
    </row>
    <row r="358" customFormat="false" ht="15" hidden="false" customHeight="false" outlineLevel="0" collapsed="false">
      <c r="A358" s="4" t="s">
        <v>16</v>
      </c>
      <c r="B358" s="5" t="s">
        <v>53</v>
      </c>
      <c r="C358" s="5" t="s">
        <v>54</v>
      </c>
      <c r="D358" s="4" t="s">
        <v>769</v>
      </c>
      <c r="E358" s="15" t="n">
        <v>33000</v>
      </c>
      <c r="F358" s="4" t="s">
        <v>770</v>
      </c>
      <c r="G358" s="16" t="s">
        <v>57</v>
      </c>
      <c r="H358" s="17"/>
      <c r="I358" s="17"/>
    </row>
    <row r="359" customFormat="false" ht="15" hidden="false" customHeight="false" outlineLevel="0" collapsed="false">
      <c r="A359" s="4" t="s">
        <v>16</v>
      </c>
      <c r="B359" s="5" t="s">
        <v>53</v>
      </c>
      <c r="C359" s="5" t="s">
        <v>54</v>
      </c>
      <c r="D359" s="4" t="s">
        <v>771</v>
      </c>
      <c r="E359" s="15" t="n">
        <v>7700</v>
      </c>
      <c r="F359" s="4" t="s">
        <v>772</v>
      </c>
      <c r="G359" s="16" t="s">
        <v>57</v>
      </c>
      <c r="H359" s="17"/>
      <c r="I359" s="17"/>
    </row>
    <row r="360" customFormat="false" ht="15" hidden="false" customHeight="false" outlineLevel="0" collapsed="false">
      <c r="A360" s="4" t="s">
        <v>16</v>
      </c>
      <c r="B360" s="5" t="s">
        <v>53</v>
      </c>
      <c r="C360" s="5" t="s">
        <v>54</v>
      </c>
      <c r="D360" s="4" t="s">
        <v>773</v>
      </c>
      <c r="E360" s="15" t="n">
        <v>47300</v>
      </c>
      <c r="F360" s="4" t="s">
        <v>774</v>
      </c>
      <c r="G360" s="16" t="s">
        <v>57</v>
      </c>
      <c r="H360" s="17"/>
      <c r="I360" s="17"/>
    </row>
    <row r="361" customFormat="false" ht="15" hidden="false" customHeight="false" outlineLevel="0" collapsed="false">
      <c r="A361" s="4" t="s">
        <v>16</v>
      </c>
      <c r="B361" s="5" t="s">
        <v>53</v>
      </c>
      <c r="C361" s="5" t="s">
        <v>54</v>
      </c>
      <c r="D361" s="4" t="s">
        <v>775</v>
      </c>
      <c r="E361" s="15" t="n">
        <v>17600</v>
      </c>
      <c r="F361" s="4" t="s">
        <v>776</v>
      </c>
      <c r="G361" s="16" t="s">
        <v>57</v>
      </c>
      <c r="H361" s="17"/>
      <c r="I361" s="17"/>
    </row>
    <row r="362" customFormat="false" ht="15" hidden="false" customHeight="false" outlineLevel="0" collapsed="false">
      <c r="A362" s="4" t="s">
        <v>16</v>
      </c>
      <c r="B362" s="5" t="s">
        <v>53</v>
      </c>
      <c r="C362" s="5" t="s">
        <v>54</v>
      </c>
      <c r="D362" s="4" t="s">
        <v>777</v>
      </c>
      <c r="E362" s="15" t="n">
        <v>41800</v>
      </c>
      <c r="F362" s="4" t="s">
        <v>778</v>
      </c>
      <c r="G362" s="16" t="s">
        <v>57</v>
      </c>
      <c r="H362" s="17"/>
      <c r="I362" s="17"/>
    </row>
    <row r="363" customFormat="false" ht="15" hidden="false" customHeight="false" outlineLevel="0" collapsed="false">
      <c r="A363" s="4" t="s">
        <v>16</v>
      </c>
      <c r="B363" s="5" t="s">
        <v>53</v>
      </c>
      <c r="C363" s="5" t="s">
        <v>54</v>
      </c>
      <c r="D363" s="4" t="s">
        <v>779</v>
      </c>
      <c r="E363" s="15" t="n">
        <v>82500</v>
      </c>
      <c r="F363" s="4" t="s">
        <v>780</v>
      </c>
      <c r="G363" s="16" t="s">
        <v>57</v>
      </c>
      <c r="H363" s="17"/>
      <c r="I363" s="17"/>
    </row>
    <row r="364" customFormat="false" ht="15" hidden="false" customHeight="false" outlineLevel="0" collapsed="false">
      <c r="A364" s="4" t="s">
        <v>16</v>
      </c>
      <c r="B364" s="5" t="s">
        <v>53</v>
      </c>
      <c r="C364" s="5" t="s">
        <v>54</v>
      </c>
      <c r="D364" s="4" t="s">
        <v>781</v>
      </c>
      <c r="E364" s="15" t="n">
        <v>30800</v>
      </c>
      <c r="F364" s="4" t="s">
        <v>782</v>
      </c>
      <c r="G364" s="16" t="s">
        <v>57</v>
      </c>
      <c r="H364" s="17"/>
      <c r="I364" s="17"/>
    </row>
    <row r="365" customFormat="false" ht="15" hidden="false" customHeight="false" outlineLevel="0" collapsed="false">
      <c r="A365" s="4" t="s">
        <v>16</v>
      </c>
      <c r="B365" s="5" t="s">
        <v>53</v>
      </c>
      <c r="C365" s="5" t="s">
        <v>54</v>
      </c>
      <c r="D365" s="4" t="s">
        <v>783</v>
      </c>
      <c r="E365" s="15" t="n">
        <v>44000</v>
      </c>
      <c r="F365" s="4" t="s">
        <v>784</v>
      </c>
      <c r="G365" s="16" t="s">
        <v>57</v>
      </c>
      <c r="H365" s="17"/>
      <c r="I365" s="17"/>
    </row>
    <row r="366" customFormat="false" ht="15" hidden="false" customHeight="false" outlineLevel="0" collapsed="false">
      <c r="A366" s="4" t="s">
        <v>16</v>
      </c>
      <c r="B366" s="5" t="s">
        <v>53</v>
      </c>
      <c r="C366" s="5" t="s">
        <v>54</v>
      </c>
      <c r="D366" s="4" t="s">
        <v>785</v>
      </c>
      <c r="E366" s="15" t="n">
        <v>15400</v>
      </c>
      <c r="F366" s="4" t="s">
        <v>786</v>
      </c>
      <c r="G366" s="16" t="s">
        <v>57</v>
      </c>
      <c r="H366" s="17"/>
      <c r="I366" s="17"/>
    </row>
    <row r="367" customFormat="false" ht="15" hidden="false" customHeight="false" outlineLevel="0" collapsed="false">
      <c r="A367" s="4" t="s">
        <v>16</v>
      </c>
      <c r="B367" s="5" t="s">
        <v>13</v>
      </c>
      <c r="C367" s="5" t="s">
        <v>243</v>
      </c>
      <c r="D367" s="4" t="s">
        <v>787</v>
      </c>
      <c r="E367" s="15" t="n">
        <v>6600</v>
      </c>
      <c r="F367" s="4" t="s">
        <v>788</v>
      </c>
      <c r="G367" s="16" t="s">
        <v>57</v>
      </c>
      <c r="H367" s="17"/>
      <c r="I367" s="17"/>
    </row>
    <row r="368" customFormat="false" ht="15" hidden="false" customHeight="false" outlineLevel="0" collapsed="false">
      <c r="A368" s="4" t="s">
        <v>16</v>
      </c>
      <c r="B368" s="5" t="s">
        <v>13</v>
      </c>
      <c r="C368" s="5" t="s">
        <v>243</v>
      </c>
      <c r="D368" s="4" t="s">
        <v>789</v>
      </c>
      <c r="E368" s="15" t="n">
        <v>45100</v>
      </c>
      <c r="F368" s="4" t="s">
        <v>790</v>
      </c>
      <c r="G368" s="16" t="s">
        <v>57</v>
      </c>
      <c r="H368" s="17"/>
      <c r="I368" s="17"/>
    </row>
    <row r="369" customFormat="false" ht="15" hidden="false" customHeight="false" outlineLevel="0" collapsed="false">
      <c r="A369" s="4" t="s">
        <v>16</v>
      </c>
      <c r="B369" s="5" t="s">
        <v>13</v>
      </c>
      <c r="C369" s="5" t="s">
        <v>243</v>
      </c>
      <c r="D369" s="4" t="s">
        <v>791</v>
      </c>
      <c r="E369" s="15" t="n">
        <v>35200</v>
      </c>
      <c r="F369" s="4" t="s">
        <v>792</v>
      </c>
      <c r="G369" s="16" t="s">
        <v>57</v>
      </c>
      <c r="H369" s="17"/>
      <c r="I369" s="17"/>
    </row>
    <row r="370" customFormat="false" ht="15" hidden="false" customHeight="false" outlineLevel="0" collapsed="false">
      <c r="A370" s="4" t="s">
        <v>16</v>
      </c>
      <c r="B370" s="5" t="s">
        <v>13</v>
      </c>
      <c r="C370" s="5" t="s">
        <v>243</v>
      </c>
      <c r="D370" s="4" t="s">
        <v>793</v>
      </c>
      <c r="E370" s="15" t="n">
        <v>17600</v>
      </c>
      <c r="F370" s="4" t="s">
        <v>794</v>
      </c>
      <c r="G370" s="16" t="s">
        <v>57</v>
      </c>
      <c r="H370" s="17"/>
      <c r="I370" s="17"/>
    </row>
    <row r="371" customFormat="false" ht="15" hidden="false" customHeight="false" outlineLevel="0" collapsed="false">
      <c r="A371" s="4" t="s">
        <v>16</v>
      </c>
      <c r="B371" s="5" t="s">
        <v>13</v>
      </c>
      <c r="C371" s="5" t="s">
        <v>243</v>
      </c>
      <c r="D371" s="4" t="s">
        <v>795</v>
      </c>
      <c r="E371" s="15" t="n">
        <v>23100</v>
      </c>
      <c r="F371" s="4" t="s">
        <v>796</v>
      </c>
      <c r="G371" s="16" t="s">
        <v>57</v>
      </c>
      <c r="H371" s="17"/>
      <c r="I371" s="17"/>
    </row>
    <row r="372" customFormat="false" ht="15" hidden="false" customHeight="false" outlineLevel="0" collapsed="false">
      <c r="A372" s="4" t="s">
        <v>16</v>
      </c>
      <c r="B372" s="5" t="s">
        <v>13</v>
      </c>
      <c r="C372" s="5" t="s">
        <v>243</v>
      </c>
      <c r="D372" s="4" t="s">
        <v>797</v>
      </c>
      <c r="E372" s="15" t="n">
        <v>17600</v>
      </c>
      <c r="F372" s="4" t="s">
        <v>798</v>
      </c>
      <c r="G372" s="16" t="s">
        <v>57</v>
      </c>
      <c r="H372" s="17"/>
      <c r="I372" s="17"/>
    </row>
    <row r="373" customFormat="false" ht="15" hidden="false" customHeight="false" outlineLevel="0" collapsed="false">
      <c r="A373" s="4" t="s">
        <v>16</v>
      </c>
      <c r="B373" s="5" t="s">
        <v>13</v>
      </c>
      <c r="C373" s="5" t="s">
        <v>243</v>
      </c>
      <c r="D373" s="4" t="s">
        <v>799</v>
      </c>
      <c r="E373" s="15" t="n">
        <v>35200</v>
      </c>
      <c r="F373" s="4" t="s">
        <v>800</v>
      </c>
      <c r="G373" s="16" t="s">
        <v>57</v>
      </c>
      <c r="H373" s="17"/>
      <c r="I373" s="17"/>
    </row>
    <row r="374" customFormat="false" ht="15" hidden="false" customHeight="false" outlineLevel="0" collapsed="false">
      <c r="A374" s="4" t="s">
        <v>16</v>
      </c>
      <c r="B374" s="5" t="s">
        <v>13</v>
      </c>
      <c r="C374" s="5" t="s">
        <v>243</v>
      </c>
      <c r="D374" s="4" t="s">
        <v>801</v>
      </c>
      <c r="E374" s="15" t="n">
        <v>6600</v>
      </c>
      <c r="F374" s="4" t="s">
        <v>802</v>
      </c>
      <c r="G374" s="16" t="s">
        <v>57</v>
      </c>
      <c r="H374" s="17"/>
      <c r="I374" s="17"/>
    </row>
    <row r="375" customFormat="false" ht="15" hidden="false" customHeight="false" outlineLevel="0" collapsed="false">
      <c r="A375" s="4" t="s">
        <v>16</v>
      </c>
      <c r="B375" s="5" t="s">
        <v>13</v>
      </c>
      <c r="C375" s="5" t="s">
        <v>243</v>
      </c>
      <c r="D375" s="4" t="s">
        <v>803</v>
      </c>
      <c r="E375" s="15" t="n">
        <v>8800</v>
      </c>
      <c r="F375" s="4" t="s">
        <v>804</v>
      </c>
      <c r="G375" s="16" t="s">
        <v>57</v>
      </c>
      <c r="H375" s="17"/>
      <c r="I375" s="17"/>
    </row>
    <row r="376" customFormat="false" ht="15" hidden="false" customHeight="false" outlineLevel="0" collapsed="false">
      <c r="A376" s="4" t="s">
        <v>16</v>
      </c>
      <c r="B376" s="5" t="s">
        <v>13</v>
      </c>
      <c r="C376" s="5" t="s">
        <v>243</v>
      </c>
      <c r="D376" s="4" t="s">
        <v>805</v>
      </c>
      <c r="E376" s="15" t="n">
        <v>4400</v>
      </c>
      <c r="F376" s="4" t="s">
        <v>806</v>
      </c>
      <c r="G376" s="16" t="s">
        <v>57</v>
      </c>
      <c r="H376" s="17"/>
      <c r="I376" s="17"/>
    </row>
    <row r="377" customFormat="false" ht="15" hidden="false" customHeight="false" outlineLevel="0" collapsed="false">
      <c r="A377" s="4" t="s">
        <v>16</v>
      </c>
      <c r="B377" s="5" t="s">
        <v>13</v>
      </c>
      <c r="C377" s="5" t="s">
        <v>243</v>
      </c>
      <c r="D377" s="4" t="s">
        <v>807</v>
      </c>
      <c r="E377" s="15" t="n">
        <v>4400</v>
      </c>
      <c r="F377" s="4" t="s">
        <v>808</v>
      </c>
      <c r="G377" s="16" t="s">
        <v>57</v>
      </c>
      <c r="H377" s="17"/>
      <c r="I377" s="17"/>
    </row>
    <row r="378" customFormat="false" ht="15" hidden="false" customHeight="false" outlineLevel="0" collapsed="false">
      <c r="A378" s="4" t="s">
        <v>16</v>
      </c>
      <c r="B378" s="5" t="s">
        <v>13</v>
      </c>
      <c r="C378" s="5" t="s">
        <v>243</v>
      </c>
      <c r="D378" s="4" t="s">
        <v>809</v>
      </c>
      <c r="E378" s="15" t="n">
        <v>5500</v>
      </c>
      <c r="F378" s="4" t="s">
        <v>810</v>
      </c>
      <c r="G378" s="16" t="s">
        <v>57</v>
      </c>
      <c r="H378" s="17"/>
      <c r="I378" s="17"/>
    </row>
    <row r="379" customFormat="false" ht="15" hidden="false" customHeight="false" outlineLevel="0" collapsed="false">
      <c r="A379" s="4" t="s">
        <v>16</v>
      </c>
      <c r="B379" s="5" t="s">
        <v>13</v>
      </c>
      <c r="C379" s="5" t="s">
        <v>243</v>
      </c>
      <c r="D379" s="4" t="s">
        <v>811</v>
      </c>
      <c r="E379" s="15" t="n">
        <v>34100</v>
      </c>
      <c r="F379" s="4" t="s">
        <v>812</v>
      </c>
      <c r="G379" s="16" t="s">
        <v>57</v>
      </c>
      <c r="H379" s="17"/>
      <c r="I379" s="17"/>
    </row>
    <row r="380" customFormat="false" ht="15" hidden="false" customHeight="false" outlineLevel="0" collapsed="false">
      <c r="A380" s="4" t="s">
        <v>16</v>
      </c>
      <c r="B380" s="5" t="s">
        <v>13</v>
      </c>
      <c r="C380" s="5" t="s">
        <v>243</v>
      </c>
      <c r="D380" s="4" t="s">
        <v>813</v>
      </c>
      <c r="E380" s="15" t="n">
        <v>31900</v>
      </c>
      <c r="F380" s="4" t="s">
        <v>814</v>
      </c>
      <c r="G380" s="16" t="s">
        <v>57</v>
      </c>
      <c r="H380" s="17"/>
      <c r="I380" s="17"/>
    </row>
    <row r="381" customFormat="false" ht="15" hidden="false" customHeight="false" outlineLevel="0" collapsed="false">
      <c r="A381" s="4" t="s">
        <v>16</v>
      </c>
      <c r="B381" s="5" t="s">
        <v>13</v>
      </c>
      <c r="C381" s="5" t="s">
        <v>243</v>
      </c>
      <c r="D381" s="4" t="s">
        <v>815</v>
      </c>
      <c r="E381" s="15" t="n">
        <v>64900</v>
      </c>
      <c r="F381" s="4" t="s">
        <v>816</v>
      </c>
      <c r="G381" s="16" t="s">
        <v>57</v>
      </c>
      <c r="H381" s="17"/>
      <c r="I381" s="17"/>
    </row>
    <row r="382" customFormat="false" ht="15" hidden="false" customHeight="false" outlineLevel="0" collapsed="false">
      <c r="A382" s="4" t="s">
        <v>16</v>
      </c>
      <c r="B382" s="5" t="s">
        <v>13</v>
      </c>
      <c r="C382" s="5" t="s">
        <v>243</v>
      </c>
      <c r="D382" s="4" t="s">
        <v>817</v>
      </c>
      <c r="E382" s="15" t="n">
        <v>24200</v>
      </c>
      <c r="F382" s="4" t="s">
        <v>818</v>
      </c>
      <c r="G382" s="16" t="s">
        <v>57</v>
      </c>
      <c r="H382" s="17"/>
      <c r="I382" s="17"/>
    </row>
    <row r="383" customFormat="false" ht="15" hidden="false" customHeight="false" outlineLevel="0" collapsed="false">
      <c r="A383" s="4" t="s">
        <v>16</v>
      </c>
      <c r="B383" s="5" t="s">
        <v>13</v>
      </c>
      <c r="C383" s="5" t="s">
        <v>243</v>
      </c>
      <c r="D383" s="4" t="s">
        <v>819</v>
      </c>
      <c r="E383" s="15" t="n">
        <v>45100</v>
      </c>
      <c r="F383" s="4" t="s">
        <v>820</v>
      </c>
      <c r="G383" s="16" t="s">
        <v>57</v>
      </c>
      <c r="H383" s="17"/>
      <c r="I383" s="17"/>
    </row>
    <row r="384" customFormat="false" ht="15" hidden="false" customHeight="false" outlineLevel="0" collapsed="false">
      <c r="A384" s="4" t="s">
        <v>16</v>
      </c>
      <c r="B384" s="5" t="s">
        <v>13</v>
      </c>
      <c r="C384" s="5" t="s">
        <v>243</v>
      </c>
      <c r="D384" s="4" t="s">
        <v>821</v>
      </c>
      <c r="E384" s="15" t="n">
        <v>35200</v>
      </c>
      <c r="F384" s="4" t="s">
        <v>822</v>
      </c>
      <c r="G384" s="16" t="s">
        <v>57</v>
      </c>
      <c r="H384" s="17"/>
      <c r="I384" s="17"/>
    </row>
    <row r="385" customFormat="false" ht="15" hidden="false" customHeight="false" outlineLevel="0" collapsed="false">
      <c r="A385" s="4" t="s">
        <v>16</v>
      </c>
      <c r="B385" s="5" t="s">
        <v>13</v>
      </c>
      <c r="C385" s="5" t="s">
        <v>243</v>
      </c>
      <c r="D385" s="4" t="s">
        <v>823</v>
      </c>
      <c r="E385" s="15" t="n">
        <v>63800</v>
      </c>
      <c r="F385" s="4" t="s">
        <v>824</v>
      </c>
      <c r="G385" s="16" t="s">
        <v>57</v>
      </c>
      <c r="H385" s="17"/>
      <c r="I385" s="17"/>
    </row>
    <row r="386" customFormat="false" ht="15" hidden="false" customHeight="false" outlineLevel="0" collapsed="false">
      <c r="A386" s="4" t="s">
        <v>16</v>
      </c>
      <c r="B386" s="5" t="s">
        <v>13</v>
      </c>
      <c r="C386" s="5" t="s">
        <v>243</v>
      </c>
      <c r="D386" s="4" t="s">
        <v>825</v>
      </c>
      <c r="E386" s="15" t="n">
        <v>66000</v>
      </c>
      <c r="F386" s="4" t="s">
        <v>826</v>
      </c>
      <c r="G386" s="16" t="s">
        <v>57</v>
      </c>
      <c r="H386" s="17"/>
      <c r="I386" s="17"/>
    </row>
    <row r="387" customFormat="false" ht="15" hidden="false" customHeight="false" outlineLevel="0" collapsed="false">
      <c r="A387" s="4" t="s">
        <v>16</v>
      </c>
      <c r="B387" s="5" t="s">
        <v>13</v>
      </c>
      <c r="C387" s="5" t="s">
        <v>243</v>
      </c>
      <c r="D387" s="4" t="s">
        <v>827</v>
      </c>
      <c r="E387" s="15" t="n">
        <v>2200</v>
      </c>
      <c r="F387" s="4" t="s">
        <v>828</v>
      </c>
      <c r="G387" s="16" t="s">
        <v>57</v>
      </c>
      <c r="H387" s="17"/>
      <c r="I387" s="17"/>
    </row>
    <row r="388" customFormat="false" ht="15" hidden="false" customHeight="false" outlineLevel="0" collapsed="false">
      <c r="A388" s="4" t="s">
        <v>16</v>
      </c>
      <c r="B388" s="5" t="s">
        <v>13</v>
      </c>
      <c r="C388" s="5" t="s">
        <v>243</v>
      </c>
      <c r="D388" s="4" t="s">
        <v>829</v>
      </c>
      <c r="E388" s="15" t="n">
        <v>41800</v>
      </c>
      <c r="F388" s="4" t="s">
        <v>830</v>
      </c>
      <c r="G388" s="16" t="s">
        <v>57</v>
      </c>
      <c r="H388" s="17"/>
      <c r="I388" s="17"/>
    </row>
    <row r="389" customFormat="false" ht="15" hidden="false" customHeight="false" outlineLevel="0" collapsed="false">
      <c r="A389" s="4" t="s">
        <v>16</v>
      </c>
      <c r="B389" s="5" t="s">
        <v>13</v>
      </c>
      <c r="C389" s="5" t="s">
        <v>243</v>
      </c>
      <c r="D389" s="4" t="s">
        <v>831</v>
      </c>
      <c r="E389" s="15" t="n">
        <v>17600</v>
      </c>
      <c r="F389" s="4" t="s">
        <v>832</v>
      </c>
      <c r="G389" s="16" t="s">
        <v>57</v>
      </c>
      <c r="H389" s="17"/>
      <c r="I389" s="17"/>
    </row>
    <row r="390" customFormat="false" ht="15" hidden="false" customHeight="false" outlineLevel="0" collapsed="false">
      <c r="A390" s="4" t="s">
        <v>16</v>
      </c>
      <c r="B390" s="5" t="s">
        <v>13</v>
      </c>
      <c r="C390" s="5" t="s">
        <v>243</v>
      </c>
      <c r="D390" s="4" t="s">
        <v>833</v>
      </c>
      <c r="E390" s="15" t="n">
        <v>19800</v>
      </c>
      <c r="F390" s="4" t="s">
        <v>834</v>
      </c>
      <c r="G390" s="16" t="s">
        <v>57</v>
      </c>
      <c r="H390" s="17"/>
      <c r="I390" s="17"/>
    </row>
    <row r="391" customFormat="false" ht="15" hidden="false" customHeight="false" outlineLevel="0" collapsed="false">
      <c r="A391" s="4" t="s">
        <v>16</v>
      </c>
      <c r="B391" s="5" t="s">
        <v>13</v>
      </c>
      <c r="C391" s="5" t="s">
        <v>243</v>
      </c>
      <c r="D391" s="4" t="s">
        <v>835</v>
      </c>
      <c r="E391" s="15" t="n">
        <v>16500</v>
      </c>
      <c r="F391" s="4" t="s">
        <v>836</v>
      </c>
      <c r="G391" s="16" t="s">
        <v>57</v>
      </c>
      <c r="H391" s="17"/>
      <c r="I391" s="17"/>
    </row>
    <row r="392" customFormat="false" ht="15" hidden="false" customHeight="false" outlineLevel="0" collapsed="false">
      <c r="A392" s="4" t="s">
        <v>16</v>
      </c>
      <c r="B392" s="5" t="s">
        <v>13</v>
      </c>
      <c r="C392" s="5" t="s">
        <v>243</v>
      </c>
      <c r="D392" s="4" t="s">
        <v>837</v>
      </c>
      <c r="E392" s="15" t="n">
        <v>46200</v>
      </c>
      <c r="F392" s="4" t="s">
        <v>838</v>
      </c>
      <c r="G392" s="16" t="s">
        <v>57</v>
      </c>
      <c r="H392" s="17"/>
      <c r="I392" s="17"/>
    </row>
    <row r="393" customFormat="false" ht="15" hidden="false" customHeight="false" outlineLevel="0" collapsed="false">
      <c r="A393" s="4" t="s">
        <v>16</v>
      </c>
      <c r="B393" s="5" t="s">
        <v>13</v>
      </c>
      <c r="C393" s="5" t="s">
        <v>243</v>
      </c>
      <c r="D393" s="4" t="s">
        <v>839</v>
      </c>
      <c r="E393" s="15" t="n">
        <v>19800</v>
      </c>
      <c r="F393" s="4" t="s">
        <v>840</v>
      </c>
      <c r="G393" s="16" t="s">
        <v>57</v>
      </c>
      <c r="H393" s="17"/>
      <c r="I393" s="17"/>
    </row>
    <row r="394" customFormat="false" ht="15" hidden="false" customHeight="false" outlineLevel="0" collapsed="false">
      <c r="A394" s="4" t="s">
        <v>16</v>
      </c>
      <c r="B394" s="5" t="s">
        <v>13</v>
      </c>
      <c r="C394" s="5" t="s">
        <v>243</v>
      </c>
      <c r="D394" s="4" t="s">
        <v>841</v>
      </c>
      <c r="E394" s="15" t="n">
        <v>17600</v>
      </c>
      <c r="F394" s="4" t="s">
        <v>842</v>
      </c>
      <c r="G394" s="16" t="s">
        <v>57</v>
      </c>
      <c r="H394" s="17"/>
      <c r="I394" s="17"/>
    </row>
    <row r="395" customFormat="false" ht="15" hidden="false" customHeight="false" outlineLevel="0" collapsed="false">
      <c r="A395" s="4" t="s">
        <v>16</v>
      </c>
      <c r="B395" s="5" t="s">
        <v>13</v>
      </c>
      <c r="C395" s="5" t="s">
        <v>243</v>
      </c>
      <c r="D395" s="4" t="s">
        <v>843</v>
      </c>
      <c r="E395" s="15" t="n">
        <v>17600</v>
      </c>
      <c r="F395" s="4" t="s">
        <v>844</v>
      </c>
      <c r="G395" s="16" t="s">
        <v>57</v>
      </c>
      <c r="H395" s="17"/>
      <c r="I395" s="17"/>
    </row>
    <row r="396" customFormat="false" ht="15" hidden="false" customHeight="false" outlineLevel="0" collapsed="false">
      <c r="A396" s="4" t="s">
        <v>16</v>
      </c>
      <c r="B396" s="5" t="s">
        <v>13</v>
      </c>
      <c r="C396" s="5" t="s">
        <v>243</v>
      </c>
      <c r="D396" s="4" t="s">
        <v>845</v>
      </c>
      <c r="E396" s="15" t="n">
        <v>41800</v>
      </c>
      <c r="F396" s="4" t="s">
        <v>846</v>
      </c>
      <c r="G396" s="16" t="s">
        <v>57</v>
      </c>
      <c r="H396" s="17"/>
      <c r="I396" s="17"/>
    </row>
    <row r="397" customFormat="false" ht="15" hidden="false" customHeight="false" outlineLevel="0" collapsed="false">
      <c r="A397" s="4" t="s">
        <v>16</v>
      </c>
      <c r="B397" s="5" t="s">
        <v>13</v>
      </c>
      <c r="C397" s="5" t="s">
        <v>243</v>
      </c>
      <c r="D397" s="4" t="s">
        <v>847</v>
      </c>
      <c r="E397" s="15" t="n">
        <v>39600</v>
      </c>
      <c r="F397" s="4" t="s">
        <v>848</v>
      </c>
      <c r="G397" s="16" t="s">
        <v>57</v>
      </c>
      <c r="H397" s="17"/>
      <c r="I397" s="17"/>
    </row>
    <row r="398" customFormat="false" ht="15" hidden="false" customHeight="false" outlineLevel="0" collapsed="false">
      <c r="A398" s="4" t="s">
        <v>16</v>
      </c>
      <c r="B398" s="5" t="s">
        <v>13</v>
      </c>
      <c r="C398" s="5" t="s">
        <v>243</v>
      </c>
      <c r="D398" s="4" t="s">
        <v>849</v>
      </c>
      <c r="E398" s="15" t="n">
        <v>30800</v>
      </c>
      <c r="F398" s="4" t="s">
        <v>850</v>
      </c>
      <c r="G398" s="16" t="s">
        <v>57</v>
      </c>
      <c r="H398" s="17"/>
      <c r="I398" s="17"/>
    </row>
    <row r="399" customFormat="false" ht="15" hidden="false" customHeight="false" outlineLevel="0" collapsed="false">
      <c r="A399" s="4" t="s">
        <v>16</v>
      </c>
      <c r="B399" s="5" t="s">
        <v>13</v>
      </c>
      <c r="C399" s="5" t="s">
        <v>243</v>
      </c>
      <c r="D399" s="4" t="s">
        <v>851</v>
      </c>
      <c r="E399" s="15" t="n">
        <v>16500</v>
      </c>
      <c r="F399" s="4" t="s">
        <v>852</v>
      </c>
      <c r="G399" s="16" t="s">
        <v>57</v>
      </c>
      <c r="H399" s="17"/>
      <c r="I399" s="17"/>
    </row>
    <row r="400" customFormat="false" ht="15" hidden="false" customHeight="false" outlineLevel="0" collapsed="false">
      <c r="A400" s="4" t="s">
        <v>16</v>
      </c>
      <c r="B400" s="5" t="s">
        <v>13</v>
      </c>
      <c r="C400" s="5" t="s">
        <v>243</v>
      </c>
      <c r="D400" s="4" t="s">
        <v>853</v>
      </c>
      <c r="E400" s="15" t="n">
        <v>14300</v>
      </c>
      <c r="F400" s="4" t="s">
        <v>854</v>
      </c>
      <c r="G400" s="16" t="s">
        <v>57</v>
      </c>
      <c r="H400" s="17"/>
      <c r="I400" s="17"/>
    </row>
    <row r="401" customFormat="false" ht="15" hidden="false" customHeight="false" outlineLevel="0" collapsed="false">
      <c r="A401" s="4" t="s">
        <v>16</v>
      </c>
      <c r="B401" s="5" t="s">
        <v>13</v>
      </c>
      <c r="C401" s="5" t="s">
        <v>243</v>
      </c>
      <c r="D401" s="4" t="s">
        <v>855</v>
      </c>
      <c r="E401" s="15" t="n">
        <v>6600</v>
      </c>
      <c r="F401" s="4" t="s">
        <v>856</v>
      </c>
      <c r="G401" s="16" t="s">
        <v>57</v>
      </c>
      <c r="H401" s="17"/>
      <c r="I401" s="17"/>
    </row>
    <row r="402" customFormat="false" ht="15" hidden="false" customHeight="false" outlineLevel="0" collapsed="false">
      <c r="A402" s="4" t="s">
        <v>16</v>
      </c>
      <c r="B402" s="5" t="s">
        <v>13</v>
      </c>
      <c r="C402" s="5" t="s">
        <v>243</v>
      </c>
      <c r="D402" s="4" t="s">
        <v>857</v>
      </c>
      <c r="E402" s="15" t="n">
        <v>23100</v>
      </c>
      <c r="F402" s="4" t="s">
        <v>858</v>
      </c>
      <c r="G402" s="16" t="s">
        <v>57</v>
      </c>
      <c r="H402" s="17"/>
      <c r="I402" s="17"/>
    </row>
    <row r="403" customFormat="false" ht="15" hidden="false" customHeight="false" outlineLevel="0" collapsed="false">
      <c r="A403" s="4" t="s">
        <v>16</v>
      </c>
      <c r="B403" s="5" t="s">
        <v>13</v>
      </c>
      <c r="C403" s="5" t="s">
        <v>243</v>
      </c>
      <c r="D403" s="4" t="s">
        <v>859</v>
      </c>
      <c r="E403" s="15" t="n">
        <v>31900</v>
      </c>
      <c r="F403" s="4" t="s">
        <v>860</v>
      </c>
      <c r="G403" s="16" t="s">
        <v>57</v>
      </c>
      <c r="H403" s="17"/>
      <c r="I403" s="17"/>
    </row>
    <row r="404" customFormat="false" ht="15" hidden="false" customHeight="false" outlineLevel="0" collapsed="false">
      <c r="A404" s="4" t="s">
        <v>16</v>
      </c>
      <c r="B404" s="5" t="s">
        <v>13</v>
      </c>
      <c r="C404" s="5" t="s">
        <v>243</v>
      </c>
      <c r="D404" s="4" t="s">
        <v>861</v>
      </c>
      <c r="E404" s="15" t="n">
        <v>3300</v>
      </c>
      <c r="F404" s="4" t="s">
        <v>862</v>
      </c>
      <c r="G404" s="16" t="s">
        <v>57</v>
      </c>
      <c r="H404" s="17"/>
      <c r="I404" s="17"/>
    </row>
    <row r="405" customFormat="false" ht="15" hidden="false" customHeight="false" outlineLevel="0" collapsed="false">
      <c r="A405" s="4" t="s">
        <v>16</v>
      </c>
      <c r="B405" s="5" t="s">
        <v>13</v>
      </c>
      <c r="C405" s="5" t="s">
        <v>243</v>
      </c>
      <c r="D405" s="4" t="s">
        <v>863</v>
      </c>
      <c r="E405" s="15" t="n">
        <v>5500</v>
      </c>
      <c r="F405" s="4" t="s">
        <v>864</v>
      </c>
      <c r="G405" s="16" t="s">
        <v>57</v>
      </c>
      <c r="H405" s="17"/>
      <c r="I405" s="17"/>
    </row>
    <row r="406" customFormat="false" ht="15" hidden="false" customHeight="false" outlineLevel="0" collapsed="false">
      <c r="A406" s="4" t="s">
        <v>16</v>
      </c>
      <c r="B406" s="5" t="s">
        <v>13</v>
      </c>
      <c r="C406" s="5" t="s">
        <v>243</v>
      </c>
      <c r="D406" s="4" t="s">
        <v>865</v>
      </c>
      <c r="E406" s="15" t="n">
        <v>30800</v>
      </c>
      <c r="F406" s="4" t="s">
        <v>866</v>
      </c>
      <c r="G406" s="16" t="s">
        <v>57</v>
      </c>
      <c r="H406" s="17"/>
      <c r="I406" s="17"/>
    </row>
    <row r="407" customFormat="false" ht="15" hidden="false" customHeight="false" outlineLevel="0" collapsed="false">
      <c r="A407" s="4" t="s">
        <v>16</v>
      </c>
      <c r="B407" s="5" t="s">
        <v>13</v>
      </c>
      <c r="C407" s="5" t="s">
        <v>243</v>
      </c>
      <c r="D407" s="4" t="s">
        <v>867</v>
      </c>
      <c r="E407" s="15" t="n">
        <v>20900</v>
      </c>
      <c r="F407" s="4" t="s">
        <v>868</v>
      </c>
      <c r="G407" s="16" t="s">
        <v>57</v>
      </c>
      <c r="H407" s="17"/>
      <c r="I407" s="17"/>
    </row>
    <row r="408" customFormat="false" ht="15" hidden="false" customHeight="false" outlineLevel="0" collapsed="false">
      <c r="A408" s="4" t="s">
        <v>16</v>
      </c>
      <c r="B408" s="5" t="s">
        <v>13</v>
      </c>
      <c r="C408" s="5" t="s">
        <v>243</v>
      </c>
      <c r="D408" s="4" t="s">
        <v>869</v>
      </c>
      <c r="E408" s="15" t="n">
        <v>12100</v>
      </c>
      <c r="F408" s="4" t="s">
        <v>870</v>
      </c>
      <c r="G408" s="16" t="s">
        <v>57</v>
      </c>
      <c r="H408" s="17"/>
      <c r="I408" s="17"/>
    </row>
    <row r="409" customFormat="false" ht="15" hidden="false" customHeight="false" outlineLevel="0" collapsed="false">
      <c r="A409" s="4" t="s">
        <v>16</v>
      </c>
      <c r="B409" s="5" t="s">
        <v>13</v>
      </c>
      <c r="C409" s="5" t="s">
        <v>243</v>
      </c>
      <c r="D409" s="4" t="s">
        <v>871</v>
      </c>
      <c r="E409" s="15" t="n">
        <v>28600</v>
      </c>
      <c r="F409" s="4" t="s">
        <v>872</v>
      </c>
      <c r="G409" s="16" t="s">
        <v>57</v>
      </c>
      <c r="H409" s="17"/>
      <c r="I409" s="17"/>
    </row>
    <row r="410" customFormat="false" ht="15" hidden="false" customHeight="false" outlineLevel="0" collapsed="false">
      <c r="A410" s="4" t="s">
        <v>16</v>
      </c>
      <c r="B410" s="5" t="s">
        <v>13</v>
      </c>
      <c r="C410" s="5" t="s">
        <v>243</v>
      </c>
      <c r="D410" s="4" t="s">
        <v>873</v>
      </c>
      <c r="E410" s="15" t="n">
        <v>48400</v>
      </c>
      <c r="F410" s="4" t="s">
        <v>874</v>
      </c>
      <c r="G410" s="16" t="s">
        <v>57</v>
      </c>
      <c r="H410" s="17"/>
      <c r="I410" s="17"/>
    </row>
    <row r="411" customFormat="false" ht="15" hidden="false" customHeight="false" outlineLevel="0" collapsed="false">
      <c r="A411" s="4" t="s">
        <v>16</v>
      </c>
      <c r="B411" s="5" t="s">
        <v>13</v>
      </c>
      <c r="C411" s="5" t="s">
        <v>243</v>
      </c>
      <c r="D411" s="4" t="s">
        <v>875</v>
      </c>
      <c r="E411" s="15" t="n">
        <v>39600</v>
      </c>
      <c r="F411" s="4" t="s">
        <v>876</v>
      </c>
      <c r="G411" s="16" t="s">
        <v>57</v>
      </c>
      <c r="H411" s="17"/>
      <c r="I411" s="17"/>
    </row>
    <row r="412" customFormat="false" ht="15" hidden="false" customHeight="false" outlineLevel="0" collapsed="false">
      <c r="A412" s="4" t="s">
        <v>16</v>
      </c>
      <c r="B412" s="5" t="s">
        <v>13</v>
      </c>
      <c r="C412" s="5" t="s">
        <v>243</v>
      </c>
      <c r="D412" s="4" t="s">
        <v>877</v>
      </c>
      <c r="E412" s="15" t="n">
        <v>30800</v>
      </c>
      <c r="F412" s="4" t="s">
        <v>878</v>
      </c>
      <c r="G412" s="16" t="s">
        <v>57</v>
      </c>
      <c r="H412" s="17"/>
      <c r="I412" s="17"/>
    </row>
    <row r="413" customFormat="false" ht="15" hidden="false" customHeight="false" outlineLevel="0" collapsed="false">
      <c r="A413" s="4" t="s">
        <v>16</v>
      </c>
      <c r="B413" s="5" t="s">
        <v>13</v>
      </c>
      <c r="C413" s="5" t="s">
        <v>243</v>
      </c>
      <c r="D413" s="4" t="s">
        <v>879</v>
      </c>
      <c r="E413" s="15" t="n">
        <v>31900</v>
      </c>
      <c r="F413" s="4" t="s">
        <v>880</v>
      </c>
      <c r="G413" s="16" t="s">
        <v>57</v>
      </c>
      <c r="H413" s="17"/>
      <c r="I413" s="17"/>
    </row>
    <row r="414" customFormat="false" ht="15" hidden="false" customHeight="false" outlineLevel="0" collapsed="false">
      <c r="A414" s="4" t="s">
        <v>16</v>
      </c>
      <c r="B414" s="5" t="s">
        <v>13</v>
      </c>
      <c r="C414" s="5" t="s">
        <v>243</v>
      </c>
      <c r="D414" s="4" t="s">
        <v>881</v>
      </c>
      <c r="E414" s="15" t="n">
        <v>16500</v>
      </c>
      <c r="F414" s="4" t="s">
        <v>882</v>
      </c>
      <c r="G414" s="16" t="s">
        <v>57</v>
      </c>
      <c r="H414" s="17"/>
      <c r="I414" s="17"/>
    </row>
    <row r="415" customFormat="false" ht="15" hidden="false" customHeight="false" outlineLevel="0" collapsed="false">
      <c r="A415" s="4" t="s">
        <v>16</v>
      </c>
      <c r="B415" s="5" t="s">
        <v>13</v>
      </c>
      <c r="C415" s="5" t="s">
        <v>243</v>
      </c>
      <c r="D415" s="4" t="s">
        <v>883</v>
      </c>
      <c r="E415" s="15" t="n">
        <v>12100</v>
      </c>
      <c r="F415" s="4" t="s">
        <v>884</v>
      </c>
      <c r="G415" s="16" t="s">
        <v>57</v>
      </c>
      <c r="H415" s="17"/>
      <c r="I415" s="17"/>
    </row>
    <row r="416" customFormat="false" ht="15" hidden="false" customHeight="false" outlineLevel="0" collapsed="false">
      <c r="A416" s="4" t="s">
        <v>16</v>
      </c>
      <c r="B416" s="5" t="s">
        <v>13</v>
      </c>
      <c r="C416" s="5" t="s">
        <v>243</v>
      </c>
      <c r="D416" s="4" t="s">
        <v>885</v>
      </c>
      <c r="E416" s="15" t="n">
        <v>26400</v>
      </c>
      <c r="F416" s="4" t="s">
        <v>886</v>
      </c>
      <c r="G416" s="16" t="s">
        <v>57</v>
      </c>
      <c r="H416" s="17"/>
      <c r="I416" s="17"/>
    </row>
    <row r="417" customFormat="false" ht="15" hidden="false" customHeight="false" outlineLevel="0" collapsed="false">
      <c r="A417" s="4" t="s">
        <v>16</v>
      </c>
      <c r="B417" s="5" t="s">
        <v>13</v>
      </c>
      <c r="C417" s="5" t="s">
        <v>243</v>
      </c>
      <c r="D417" s="4" t="s">
        <v>887</v>
      </c>
      <c r="E417" s="15" t="n">
        <v>35200</v>
      </c>
      <c r="F417" s="4" t="s">
        <v>888</v>
      </c>
      <c r="G417" s="16" t="s">
        <v>57</v>
      </c>
      <c r="H417" s="17"/>
      <c r="I417" s="17"/>
    </row>
    <row r="418" customFormat="false" ht="15" hidden="false" customHeight="false" outlineLevel="0" collapsed="false">
      <c r="A418" s="4" t="s">
        <v>16</v>
      </c>
      <c r="B418" s="5" t="s">
        <v>13</v>
      </c>
      <c r="C418" s="5" t="s">
        <v>243</v>
      </c>
      <c r="D418" s="4" t="s">
        <v>889</v>
      </c>
      <c r="E418" s="15" t="n">
        <v>33000</v>
      </c>
      <c r="F418" s="4" t="s">
        <v>890</v>
      </c>
      <c r="G418" s="16" t="s">
        <v>57</v>
      </c>
      <c r="H418" s="17"/>
      <c r="I418" s="17"/>
    </row>
    <row r="419" customFormat="false" ht="15" hidden="false" customHeight="false" outlineLevel="0" collapsed="false">
      <c r="A419" s="4" t="s">
        <v>16</v>
      </c>
      <c r="B419" s="5" t="s">
        <v>13</v>
      </c>
      <c r="C419" s="5" t="s">
        <v>243</v>
      </c>
      <c r="D419" s="4" t="s">
        <v>891</v>
      </c>
      <c r="E419" s="15" t="n">
        <v>44000</v>
      </c>
      <c r="F419" s="4" t="s">
        <v>892</v>
      </c>
      <c r="G419" s="16" t="s">
        <v>57</v>
      </c>
      <c r="H419" s="17"/>
      <c r="I419" s="17"/>
    </row>
    <row r="420" customFormat="false" ht="15" hidden="false" customHeight="false" outlineLevel="0" collapsed="false">
      <c r="A420" s="4" t="s">
        <v>16</v>
      </c>
      <c r="B420" s="5" t="s">
        <v>13</v>
      </c>
      <c r="C420" s="5" t="s">
        <v>243</v>
      </c>
      <c r="D420" s="4" t="s">
        <v>893</v>
      </c>
      <c r="E420" s="15" t="n">
        <v>14300</v>
      </c>
      <c r="F420" s="4" t="s">
        <v>894</v>
      </c>
      <c r="G420" s="16" t="s">
        <v>57</v>
      </c>
      <c r="H420" s="17"/>
      <c r="I420" s="17"/>
    </row>
    <row r="421" customFormat="false" ht="15" hidden="false" customHeight="false" outlineLevel="0" collapsed="false">
      <c r="A421" s="4" t="s">
        <v>16</v>
      </c>
      <c r="B421" s="5" t="s">
        <v>13</v>
      </c>
      <c r="C421" s="5" t="s">
        <v>243</v>
      </c>
      <c r="D421" s="4" t="s">
        <v>895</v>
      </c>
      <c r="E421" s="15" t="n">
        <v>14300</v>
      </c>
      <c r="F421" s="4" t="s">
        <v>896</v>
      </c>
      <c r="G421" s="16" t="s">
        <v>57</v>
      </c>
      <c r="H421" s="17"/>
      <c r="I421" s="17"/>
    </row>
    <row r="422" customFormat="false" ht="15" hidden="false" customHeight="false" outlineLevel="0" collapsed="false">
      <c r="A422" s="4" t="s">
        <v>16</v>
      </c>
      <c r="B422" s="5" t="s">
        <v>13</v>
      </c>
      <c r="C422" s="5" t="s">
        <v>243</v>
      </c>
      <c r="D422" s="4" t="s">
        <v>897</v>
      </c>
      <c r="E422" s="15" t="n">
        <v>3300</v>
      </c>
      <c r="F422" s="4" t="s">
        <v>898</v>
      </c>
      <c r="G422" s="16" t="s">
        <v>57</v>
      </c>
      <c r="H422" s="17"/>
      <c r="I422" s="17"/>
    </row>
    <row r="423" customFormat="false" ht="15" hidden="false" customHeight="false" outlineLevel="0" collapsed="false">
      <c r="A423" s="4" t="s">
        <v>16</v>
      </c>
      <c r="B423" s="5" t="s">
        <v>13</v>
      </c>
      <c r="C423" s="5" t="s">
        <v>243</v>
      </c>
      <c r="D423" s="4" t="s">
        <v>899</v>
      </c>
      <c r="E423" s="15" t="n">
        <v>23100</v>
      </c>
      <c r="F423" s="4" t="s">
        <v>900</v>
      </c>
      <c r="G423" s="16" t="s">
        <v>57</v>
      </c>
      <c r="H423" s="17"/>
      <c r="I423" s="17"/>
    </row>
    <row r="424" customFormat="false" ht="15" hidden="false" customHeight="false" outlineLevel="0" collapsed="false">
      <c r="A424" s="4" t="s">
        <v>16</v>
      </c>
      <c r="B424" s="5" t="s">
        <v>13</v>
      </c>
      <c r="C424" s="5" t="s">
        <v>243</v>
      </c>
      <c r="D424" s="4" t="s">
        <v>901</v>
      </c>
      <c r="E424" s="15" t="n">
        <v>35200</v>
      </c>
      <c r="F424" s="4" t="s">
        <v>902</v>
      </c>
      <c r="G424" s="16" t="s">
        <v>57</v>
      </c>
      <c r="H424" s="17"/>
      <c r="I424" s="17"/>
    </row>
    <row r="425" customFormat="false" ht="15" hidden="false" customHeight="false" outlineLevel="0" collapsed="false">
      <c r="A425" s="4" t="s">
        <v>16</v>
      </c>
      <c r="B425" s="5" t="s">
        <v>13</v>
      </c>
      <c r="C425" s="5" t="s">
        <v>243</v>
      </c>
      <c r="D425" s="4" t="s">
        <v>903</v>
      </c>
      <c r="E425" s="15" t="n">
        <v>69300</v>
      </c>
      <c r="F425" s="4" t="s">
        <v>904</v>
      </c>
      <c r="G425" s="16" t="s">
        <v>57</v>
      </c>
      <c r="H425" s="17"/>
      <c r="I425" s="17"/>
    </row>
    <row r="426" customFormat="false" ht="15" hidden="false" customHeight="false" outlineLevel="0" collapsed="false">
      <c r="A426" s="4" t="s">
        <v>16</v>
      </c>
      <c r="B426" s="5" t="s">
        <v>13</v>
      </c>
      <c r="C426" s="5" t="s">
        <v>243</v>
      </c>
      <c r="D426" s="4" t="s">
        <v>905</v>
      </c>
      <c r="E426" s="15" t="n">
        <v>3300</v>
      </c>
      <c r="F426" s="4" t="s">
        <v>906</v>
      </c>
      <c r="G426" s="16" t="s">
        <v>57</v>
      </c>
      <c r="H426" s="17"/>
      <c r="I426" s="17"/>
    </row>
    <row r="427" customFormat="false" ht="15" hidden="false" customHeight="false" outlineLevel="0" collapsed="false">
      <c r="A427" s="4" t="s">
        <v>16</v>
      </c>
      <c r="B427" s="5" t="s">
        <v>13</v>
      </c>
      <c r="C427" s="5" t="s">
        <v>243</v>
      </c>
      <c r="D427" s="4" t="s">
        <v>907</v>
      </c>
      <c r="E427" s="15" t="n">
        <v>6600</v>
      </c>
      <c r="F427" s="4" t="s">
        <v>908</v>
      </c>
      <c r="G427" s="16" t="s">
        <v>57</v>
      </c>
      <c r="H427" s="17"/>
      <c r="I427" s="17"/>
    </row>
    <row r="428" customFormat="false" ht="15" hidden="false" customHeight="false" outlineLevel="0" collapsed="false">
      <c r="A428" s="4" t="s">
        <v>16</v>
      </c>
      <c r="B428" s="5" t="s">
        <v>13</v>
      </c>
      <c r="C428" s="5" t="s">
        <v>243</v>
      </c>
      <c r="D428" s="4" t="s">
        <v>909</v>
      </c>
      <c r="E428" s="15" t="n">
        <v>7700</v>
      </c>
      <c r="F428" s="4" t="s">
        <v>910</v>
      </c>
      <c r="G428" s="16" t="s">
        <v>57</v>
      </c>
      <c r="H428" s="17"/>
      <c r="I428" s="17"/>
    </row>
    <row r="429" customFormat="false" ht="15" hidden="false" customHeight="false" outlineLevel="0" collapsed="false">
      <c r="A429" s="4" t="s">
        <v>16</v>
      </c>
      <c r="B429" s="5" t="s">
        <v>13</v>
      </c>
      <c r="C429" s="5" t="s">
        <v>243</v>
      </c>
      <c r="D429" s="4" t="s">
        <v>911</v>
      </c>
      <c r="E429" s="15" t="n">
        <v>6600</v>
      </c>
      <c r="F429" s="4" t="s">
        <v>912</v>
      </c>
      <c r="G429" s="16" t="s">
        <v>57</v>
      </c>
      <c r="H429" s="17"/>
      <c r="I429" s="17"/>
    </row>
    <row r="430" customFormat="false" ht="15" hidden="false" customHeight="false" outlineLevel="0" collapsed="false">
      <c r="A430" s="4" t="s">
        <v>16</v>
      </c>
      <c r="B430" s="5" t="s">
        <v>13</v>
      </c>
      <c r="C430" s="5" t="s">
        <v>243</v>
      </c>
      <c r="D430" s="4" t="s">
        <v>913</v>
      </c>
      <c r="E430" s="15" t="n">
        <v>12100</v>
      </c>
      <c r="F430" s="4" t="s">
        <v>914</v>
      </c>
      <c r="G430" s="16" t="s">
        <v>57</v>
      </c>
      <c r="H430" s="17"/>
      <c r="I430" s="17"/>
    </row>
    <row r="431" customFormat="false" ht="15" hidden="false" customHeight="false" outlineLevel="0" collapsed="false">
      <c r="A431" s="4" t="s">
        <v>16</v>
      </c>
      <c r="B431" s="5" t="s">
        <v>13</v>
      </c>
      <c r="C431" s="5" t="s">
        <v>243</v>
      </c>
      <c r="D431" s="4" t="s">
        <v>915</v>
      </c>
      <c r="E431" s="15" t="n">
        <v>27500</v>
      </c>
      <c r="F431" s="4" t="s">
        <v>916</v>
      </c>
      <c r="G431" s="16" t="s">
        <v>57</v>
      </c>
      <c r="H431" s="17"/>
      <c r="I431" s="17"/>
    </row>
    <row r="432" customFormat="false" ht="15" hidden="false" customHeight="false" outlineLevel="0" collapsed="false">
      <c r="A432" s="4" t="s">
        <v>16</v>
      </c>
      <c r="B432" s="5" t="s">
        <v>13</v>
      </c>
      <c r="C432" s="5" t="s">
        <v>243</v>
      </c>
      <c r="D432" s="4" t="s">
        <v>917</v>
      </c>
      <c r="E432" s="15" t="n">
        <v>19800</v>
      </c>
      <c r="F432" s="4" t="s">
        <v>918</v>
      </c>
      <c r="G432" s="16" t="s">
        <v>57</v>
      </c>
      <c r="H432" s="17"/>
      <c r="I432" s="17"/>
    </row>
    <row r="433" customFormat="false" ht="15" hidden="false" customHeight="false" outlineLevel="0" collapsed="false">
      <c r="A433" s="4" t="s">
        <v>16</v>
      </c>
      <c r="B433" s="5" t="s">
        <v>13</v>
      </c>
      <c r="C433" s="5" t="s">
        <v>243</v>
      </c>
      <c r="D433" s="4" t="s">
        <v>919</v>
      </c>
      <c r="E433" s="15" t="n">
        <v>14300</v>
      </c>
      <c r="F433" s="4" t="s">
        <v>920</v>
      </c>
      <c r="G433" s="16" t="s">
        <v>57</v>
      </c>
      <c r="H433" s="17"/>
      <c r="I433" s="17"/>
    </row>
    <row r="434" customFormat="false" ht="15" hidden="false" customHeight="false" outlineLevel="0" collapsed="false">
      <c r="A434" s="4" t="s">
        <v>16</v>
      </c>
      <c r="B434" s="5" t="s">
        <v>13</v>
      </c>
      <c r="C434" s="5" t="s">
        <v>243</v>
      </c>
      <c r="D434" s="4" t="s">
        <v>921</v>
      </c>
      <c r="E434" s="15" t="n">
        <v>30800</v>
      </c>
      <c r="F434" s="4" t="s">
        <v>922</v>
      </c>
      <c r="G434" s="16" t="s">
        <v>57</v>
      </c>
      <c r="H434" s="17"/>
      <c r="I434" s="17"/>
    </row>
    <row r="435" customFormat="false" ht="15" hidden="false" customHeight="false" outlineLevel="0" collapsed="false">
      <c r="A435" s="4" t="s">
        <v>16</v>
      </c>
      <c r="B435" s="5" t="s">
        <v>13</v>
      </c>
      <c r="C435" s="5" t="s">
        <v>243</v>
      </c>
      <c r="D435" s="4" t="s">
        <v>923</v>
      </c>
      <c r="E435" s="15" t="n">
        <v>74800</v>
      </c>
      <c r="F435" s="4" t="s">
        <v>924</v>
      </c>
      <c r="G435" s="16" t="s">
        <v>57</v>
      </c>
      <c r="H435" s="17"/>
      <c r="I435" s="17"/>
    </row>
    <row r="436" customFormat="false" ht="15" hidden="false" customHeight="false" outlineLevel="0" collapsed="false">
      <c r="A436" s="4" t="s">
        <v>16</v>
      </c>
      <c r="B436" s="5" t="s">
        <v>13</v>
      </c>
      <c r="C436" s="5" t="s">
        <v>243</v>
      </c>
      <c r="D436" s="4" t="s">
        <v>925</v>
      </c>
      <c r="E436" s="15" t="n">
        <v>74800</v>
      </c>
      <c r="F436" s="4" t="s">
        <v>926</v>
      </c>
      <c r="G436" s="16" t="s">
        <v>57</v>
      </c>
      <c r="H436" s="17"/>
      <c r="I436" s="17"/>
    </row>
    <row r="437" customFormat="false" ht="15" hidden="false" customHeight="false" outlineLevel="0" collapsed="false">
      <c r="A437" s="4" t="s">
        <v>16</v>
      </c>
      <c r="B437" s="5" t="s">
        <v>13</v>
      </c>
      <c r="C437" s="5" t="s">
        <v>243</v>
      </c>
      <c r="D437" s="4" t="s">
        <v>927</v>
      </c>
      <c r="E437" s="15" t="n">
        <v>9900</v>
      </c>
      <c r="F437" s="4" t="s">
        <v>928</v>
      </c>
      <c r="G437" s="16" t="s">
        <v>57</v>
      </c>
      <c r="H437" s="17"/>
      <c r="I437" s="17"/>
    </row>
    <row r="438" customFormat="false" ht="15" hidden="false" customHeight="false" outlineLevel="0" collapsed="false">
      <c r="A438" s="4" t="s">
        <v>16</v>
      </c>
      <c r="B438" s="5" t="s">
        <v>13</v>
      </c>
      <c r="C438" s="5" t="s">
        <v>243</v>
      </c>
      <c r="D438" s="4" t="s">
        <v>929</v>
      </c>
      <c r="E438" s="15" t="n">
        <v>17600</v>
      </c>
      <c r="F438" s="4" t="s">
        <v>930</v>
      </c>
      <c r="G438" s="16" t="s">
        <v>57</v>
      </c>
      <c r="H438" s="17"/>
      <c r="I438" s="17"/>
    </row>
    <row r="439" customFormat="false" ht="15" hidden="false" customHeight="false" outlineLevel="0" collapsed="false">
      <c r="A439" s="4" t="s">
        <v>16</v>
      </c>
      <c r="B439" s="5" t="s">
        <v>13</v>
      </c>
      <c r="C439" s="5" t="s">
        <v>243</v>
      </c>
      <c r="D439" s="4" t="s">
        <v>931</v>
      </c>
      <c r="E439" s="15" t="n">
        <v>7700</v>
      </c>
      <c r="F439" s="4" t="s">
        <v>932</v>
      </c>
      <c r="G439" s="16" t="s">
        <v>57</v>
      </c>
      <c r="H439" s="17"/>
      <c r="I439" s="17"/>
    </row>
    <row r="440" customFormat="false" ht="15" hidden="false" customHeight="false" outlineLevel="0" collapsed="false">
      <c r="A440" s="4" t="s">
        <v>16</v>
      </c>
      <c r="B440" s="5" t="s">
        <v>13</v>
      </c>
      <c r="C440" s="5" t="s">
        <v>243</v>
      </c>
      <c r="D440" s="4" t="s">
        <v>933</v>
      </c>
      <c r="E440" s="15" t="n">
        <v>19800</v>
      </c>
      <c r="F440" s="4" t="s">
        <v>934</v>
      </c>
      <c r="G440" s="16" t="s">
        <v>57</v>
      </c>
      <c r="H440" s="17"/>
      <c r="I440" s="17"/>
    </row>
    <row r="441" customFormat="false" ht="15" hidden="false" customHeight="false" outlineLevel="0" collapsed="false">
      <c r="A441" s="4" t="s">
        <v>16</v>
      </c>
      <c r="B441" s="5" t="s">
        <v>13</v>
      </c>
      <c r="C441" s="5" t="s">
        <v>243</v>
      </c>
      <c r="D441" s="4" t="s">
        <v>935</v>
      </c>
      <c r="E441" s="15" t="n">
        <v>2200</v>
      </c>
      <c r="F441" s="4" t="s">
        <v>936</v>
      </c>
      <c r="G441" s="16" t="s">
        <v>57</v>
      </c>
      <c r="H441" s="17"/>
      <c r="I441" s="17"/>
    </row>
    <row r="442" customFormat="false" ht="15" hidden="false" customHeight="false" outlineLevel="0" collapsed="false">
      <c r="A442" s="4" t="s">
        <v>16</v>
      </c>
      <c r="B442" s="5" t="s">
        <v>13</v>
      </c>
      <c r="C442" s="5" t="s">
        <v>243</v>
      </c>
      <c r="D442" s="4" t="s">
        <v>937</v>
      </c>
      <c r="E442" s="15" t="n">
        <v>80300</v>
      </c>
      <c r="F442" s="4" t="s">
        <v>938</v>
      </c>
      <c r="G442" s="16" t="s">
        <v>57</v>
      </c>
      <c r="H442" s="17"/>
      <c r="I442" s="17"/>
    </row>
    <row r="443" customFormat="false" ht="15" hidden="false" customHeight="false" outlineLevel="0" collapsed="false">
      <c r="A443" s="4" t="s">
        <v>16</v>
      </c>
      <c r="B443" s="5" t="s">
        <v>13</v>
      </c>
      <c r="C443" s="5" t="s">
        <v>243</v>
      </c>
      <c r="D443" s="4" t="s">
        <v>939</v>
      </c>
      <c r="E443" s="15" t="n">
        <v>22000</v>
      </c>
      <c r="F443" s="4" t="s">
        <v>940</v>
      </c>
      <c r="G443" s="16" t="s">
        <v>57</v>
      </c>
      <c r="H443" s="17"/>
      <c r="I443" s="17"/>
    </row>
    <row r="444" customFormat="false" ht="15" hidden="false" customHeight="false" outlineLevel="0" collapsed="false">
      <c r="A444" s="4" t="s">
        <v>16</v>
      </c>
      <c r="B444" s="5" t="s">
        <v>13</v>
      </c>
      <c r="C444" s="5" t="s">
        <v>243</v>
      </c>
      <c r="D444" s="4" t="s">
        <v>941</v>
      </c>
      <c r="E444" s="15" t="n">
        <v>23100</v>
      </c>
      <c r="F444" s="4" t="s">
        <v>942</v>
      </c>
      <c r="G444" s="16" t="s">
        <v>57</v>
      </c>
      <c r="H444" s="17"/>
      <c r="I444" s="17"/>
    </row>
    <row r="445" customFormat="false" ht="15" hidden="false" customHeight="false" outlineLevel="0" collapsed="false">
      <c r="A445" s="4" t="s">
        <v>16</v>
      </c>
      <c r="B445" s="5" t="s">
        <v>13</v>
      </c>
      <c r="C445" s="5" t="s">
        <v>243</v>
      </c>
      <c r="D445" s="4" t="s">
        <v>943</v>
      </c>
      <c r="E445" s="15" t="n">
        <v>31900</v>
      </c>
      <c r="F445" s="4" t="s">
        <v>944</v>
      </c>
      <c r="G445" s="16" t="s">
        <v>57</v>
      </c>
      <c r="H445" s="17"/>
      <c r="I445" s="17"/>
    </row>
    <row r="446" customFormat="false" ht="15" hidden="false" customHeight="false" outlineLevel="0" collapsed="false">
      <c r="A446" s="4" t="s">
        <v>16</v>
      </c>
      <c r="B446" s="5" t="s">
        <v>13</v>
      </c>
      <c r="C446" s="5" t="s">
        <v>243</v>
      </c>
      <c r="D446" s="4" t="s">
        <v>945</v>
      </c>
      <c r="E446" s="15" t="n">
        <v>8800</v>
      </c>
      <c r="F446" s="4" t="s">
        <v>946</v>
      </c>
      <c r="G446" s="16" t="s">
        <v>57</v>
      </c>
      <c r="H446" s="17"/>
      <c r="I446" s="17"/>
    </row>
    <row r="447" customFormat="false" ht="15" hidden="false" customHeight="false" outlineLevel="0" collapsed="false">
      <c r="A447" s="4" t="s">
        <v>16</v>
      </c>
      <c r="B447" s="5" t="s">
        <v>13</v>
      </c>
      <c r="C447" s="5" t="s">
        <v>243</v>
      </c>
      <c r="D447" s="4" t="s">
        <v>947</v>
      </c>
      <c r="E447" s="15" t="n">
        <v>11000</v>
      </c>
      <c r="F447" s="4" t="s">
        <v>948</v>
      </c>
      <c r="G447" s="16" t="s">
        <v>57</v>
      </c>
      <c r="H447" s="17"/>
      <c r="I447" s="17"/>
    </row>
    <row r="448" customFormat="false" ht="15" hidden="false" customHeight="false" outlineLevel="0" collapsed="false">
      <c r="A448" s="4" t="s">
        <v>16</v>
      </c>
      <c r="B448" s="5" t="s">
        <v>13</v>
      </c>
      <c r="C448" s="5" t="s">
        <v>243</v>
      </c>
      <c r="D448" s="4" t="s">
        <v>949</v>
      </c>
      <c r="E448" s="15" t="n">
        <v>15400</v>
      </c>
      <c r="F448" s="4" t="s">
        <v>950</v>
      </c>
      <c r="G448" s="16" t="s">
        <v>57</v>
      </c>
      <c r="H448" s="17"/>
      <c r="I448" s="17"/>
    </row>
    <row r="449" customFormat="false" ht="15" hidden="false" customHeight="false" outlineLevel="0" collapsed="false">
      <c r="A449" s="4" t="s">
        <v>16</v>
      </c>
      <c r="B449" s="5" t="s">
        <v>13</v>
      </c>
      <c r="C449" s="5" t="s">
        <v>243</v>
      </c>
      <c r="D449" s="4" t="s">
        <v>951</v>
      </c>
      <c r="E449" s="15" t="n">
        <v>20900</v>
      </c>
      <c r="F449" s="4" t="s">
        <v>952</v>
      </c>
      <c r="G449" s="16" t="s">
        <v>57</v>
      </c>
      <c r="H449" s="17"/>
      <c r="I449" s="17"/>
    </row>
    <row r="450" customFormat="false" ht="15" hidden="false" customHeight="false" outlineLevel="0" collapsed="false">
      <c r="A450" s="4" t="s">
        <v>16</v>
      </c>
      <c r="B450" s="5" t="s">
        <v>13</v>
      </c>
      <c r="C450" s="5" t="s">
        <v>243</v>
      </c>
      <c r="D450" s="4" t="s">
        <v>953</v>
      </c>
      <c r="E450" s="15" t="n">
        <v>3300</v>
      </c>
      <c r="F450" s="4" t="s">
        <v>954</v>
      </c>
      <c r="G450" s="16" t="s">
        <v>57</v>
      </c>
      <c r="H450" s="17"/>
      <c r="I450" s="17"/>
    </row>
    <row r="451" customFormat="false" ht="15" hidden="false" customHeight="false" outlineLevel="0" collapsed="false">
      <c r="A451" s="4" t="s">
        <v>16</v>
      </c>
      <c r="B451" s="5" t="s">
        <v>13</v>
      </c>
      <c r="C451" s="5" t="s">
        <v>243</v>
      </c>
      <c r="D451" s="4" t="s">
        <v>955</v>
      </c>
      <c r="E451" s="15" t="n">
        <v>48400</v>
      </c>
      <c r="F451" s="4" t="s">
        <v>956</v>
      </c>
      <c r="G451" s="16" t="s">
        <v>57</v>
      </c>
      <c r="H451" s="17"/>
      <c r="I451" s="17"/>
    </row>
    <row r="452" customFormat="false" ht="15" hidden="false" customHeight="false" outlineLevel="0" collapsed="false">
      <c r="A452" s="4" t="s">
        <v>16</v>
      </c>
      <c r="B452" s="5" t="s">
        <v>13</v>
      </c>
      <c r="C452" s="5" t="s">
        <v>243</v>
      </c>
      <c r="D452" s="4" t="s">
        <v>957</v>
      </c>
      <c r="E452" s="15" t="n">
        <v>12100</v>
      </c>
      <c r="F452" s="4" t="s">
        <v>958</v>
      </c>
      <c r="G452" s="16" t="s">
        <v>57</v>
      </c>
      <c r="H452" s="17"/>
      <c r="I452" s="17"/>
    </row>
    <row r="453" customFormat="false" ht="15" hidden="false" customHeight="false" outlineLevel="0" collapsed="false">
      <c r="A453" s="4" t="s">
        <v>16</v>
      </c>
      <c r="B453" s="5" t="s">
        <v>13</v>
      </c>
      <c r="C453" s="5" t="s">
        <v>243</v>
      </c>
      <c r="D453" s="4" t="s">
        <v>959</v>
      </c>
      <c r="E453" s="15" t="n">
        <v>23100</v>
      </c>
      <c r="F453" s="4" t="s">
        <v>960</v>
      </c>
      <c r="G453" s="16" t="s">
        <v>57</v>
      </c>
      <c r="H453" s="17"/>
      <c r="I453" s="17"/>
    </row>
    <row r="454" customFormat="false" ht="15" hidden="false" customHeight="false" outlineLevel="0" collapsed="false">
      <c r="A454" s="4" t="s">
        <v>16</v>
      </c>
      <c r="B454" s="5" t="s">
        <v>13</v>
      </c>
      <c r="C454" s="5" t="s">
        <v>243</v>
      </c>
      <c r="D454" s="4" t="s">
        <v>961</v>
      </c>
      <c r="E454" s="15" t="n">
        <v>26400</v>
      </c>
      <c r="F454" s="4" t="s">
        <v>962</v>
      </c>
      <c r="G454" s="16" t="s">
        <v>57</v>
      </c>
      <c r="H454" s="17"/>
      <c r="I454" s="17"/>
    </row>
    <row r="455" customFormat="false" ht="15" hidden="false" customHeight="false" outlineLevel="0" collapsed="false">
      <c r="A455" s="4" t="s">
        <v>16</v>
      </c>
      <c r="B455" s="5" t="s">
        <v>13</v>
      </c>
      <c r="C455" s="5" t="s">
        <v>243</v>
      </c>
      <c r="D455" s="4" t="s">
        <v>963</v>
      </c>
      <c r="E455" s="15" t="n">
        <v>23100</v>
      </c>
      <c r="F455" s="4" t="s">
        <v>964</v>
      </c>
      <c r="G455" s="16" t="s">
        <v>57</v>
      </c>
      <c r="H455" s="17"/>
      <c r="I455" s="17"/>
    </row>
    <row r="456" customFormat="false" ht="15" hidden="false" customHeight="false" outlineLevel="0" collapsed="false">
      <c r="A456" s="4" t="s">
        <v>16</v>
      </c>
      <c r="B456" s="5" t="s">
        <v>13</v>
      </c>
      <c r="C456" s="5" t="s">
        <v>243</v>
      </c>
      <c r="D456" s="4" t="s">
        <v>965</v>
      </c>
      <c r="E456" s="15" t="n">
        <v>31900</v>
      </c>
      <c r="F456" s="4" t="s">
        <v>966</v>
      </c>
      <c r="G456" s="16" t="s">
        <v>57</v>
      </c>
      <c r="H456" s="17"/>
      <c r="I456" s="17"/>
    </row>
    <row r="457" customFormat="false" ht="15" hidden="false" customHeight="false" outlineLevel="0" collapsed="false">
      <c r="A457" s="4" t="s">
        <v>16</v>
      </c>
      <c r="B457" s="5" t="s">
        <v>13</v>
      </c>
      <c r="C457" s="5" t="s">
        <v>243</v>
      </c>
      <c r="D457" s="4" t="s">
        <v>967</v>
      </c>
      <c r="E457" s="15" t="n">
        <v>20900</v>
      </c>
      <c r="F457" s="4" t="s">
        <v>968</v>
      </c>
      <c r="G457" s="16" t="s">
        <v>57</v>
      </c>
      <c r="H457" s="17"/>
      <c r="I457" s="17"/>
    </row>
    <row r="458" customFormat="false" ht="15" hidden="false" customHeight="false" outlineLevel="0" collapsed="false">
      <c r="A458" s="4" t="s">
        <v>16</v>
      </c>
      <c r="B458" s="5" t="s">
        <v>13</v>
      </c>
      <c r="C458" s="5" t="s">
        <v>243</v>
      </c>
      <c r="D458" s="4" t="s">
        <v>969</v>
      </c>
      <c r="E458" s="15" t="n">
        <v>28600</v>
      </c>
      <c r="F458" s="4" t="s">
        <v>970</v>
      </c>
      <c r="G458" s="16" t="s">
        <v>57</v>
      </c>
      <c r="H458" s="17"/>
      <c r="I458" s="17"/>
    </row>
    <row r="459" customFormat="false" ht="15" hidden="false" customHeight="false" outlineLevel="0" collapsed="false">
      <c r="A459" s="4" t="s">
        <v>16</v>
      </c>
      <c r="B459" s="5" t="s">
        <v>13</v>
      </c>
      <c r="C459" s="5" t="s">
        <v>243</v>
      </c>
      <c r="D459" s="4" t="s">
        <v>971</v>
      </c>
      <c r="E459" s="15" t="n">
        <v>30800</v>
      </c>
      <c r="F459" s="4" t="s">
        <v>972</v>
      </c>
      <c r="G459" s="16" t="s">
        <v>57</v>
      </c>
      <c r="H459" s="17"/>
      <c r="I459" s="17"/>
    </row>
    <row r="460" customFormat="false" ht="15" hidden="false" customHeight="false" outlineLevel="0" collapsed="false">
      <c r="A460" s="4" t="s">
        <v>16</v>
      </c>
      <c r="B460" s="5" t="s">
        <v>13</v>
      </c>
      <c r="C460" s="5" t="s">
        <v>243</v>
      </c>
      <c r="D460" s="4" t="s">
        <v>973</v>
      </c>
      <c r="E460" s="15" t="n">
        <v>23100</v>
      </c>
      <c r="F460" s="4" t="s">
        <v>974</v>
      </c>
      <c r="G460" s="16" t="s">
        <v>57</v>
      </c>
      <c r="H460" s="17"/>
      <c r="I460" s="17"/>
    </row>
    <row r="461" customFormat="false" ht="15" hidden="false" customHeight="false" outlineLevel="0" collapsed="false">
      <c r="A461" s="4" t="s">
        <v>17</v>
      </c>
      <c r="B461" s="5" t="s">
        <v>53</v>
      </c>
      <c r="C461" s="5" t="s">
        <v>54</v>
      </c>
      <c r="D461" s="4" t="s">
        <v>975</v>
      </c>
      <c r="E461" s="15" t="n">
        <v>7480</v>
      </c>
      <c r="F461" s="4" t="s">
        <v>976</v>
      </c>
      <c r="G461" s="16" t="s">
        <v>57</v>
      </c>
      <c r="H461" s="17"/>
      <c r="I461" s="17"/>
    </row>
    <row r="462" customFormat="false" ht="15" hidden="false" customHeight="false" outlineLevel="0" collapsed="false">
      <c r="A462" s="4" t="s">
        <v>17</v>
      </c>
      <c r="B462" s="5" t="s">
        <v>53</v>
      </c>
      <c r="C462" s="5" t="s">
        <v>54</v>
      </c>
      <c r="D462" s="4" t="s">
        <v>977</v>
      </c>
      <c r="E462" s="15" t="n">
        <v>154000</v>
      </c>
      <c r="F462" s="4" t="s">
        <v>978</v>
      </c>
      <c r="G462" s="16" t="s">
        <v>57</v>
      </c>
      <c r="H462" s="17"/>
      <c r="I462" s="17"/>
    </row>
    <row r="463" customFormat="false" ht="15" hidden="false" customHeight="false" outlineLevel="0" collapsed="false">
      <c r="A463" s="4" t="s">
        <v>17</v>
      </c>
      <c r="B463" s="5" t="s">
        <v>53</v>
      </c>
      <c r="C463" s="5" t="s">
        <v>54</v>
      </c>
      <c r="D463" s="4" t="s">
        <v>979</v>
      </c>
      <c r="E463" s="15" t="n">
        <v>169400</v>
      </c>
      <c r="F463" s="4" t="s">
        <v>980</v>
      </c>
      <c r="G463" s="16" t="s">
        <v>57</v>
      </c>
      <c r="H463" s="17"/>
      <c r="I463" s="17"/>
    </row>
    <row r="464" customFormat="false" ht="15" hidden="false" customHeight="false" outlineLevel="0" collapsed="false">
      <c r="A464" s="4" t="s">
        <v>17</v>
      </c>
      <c r="B464" s="5" t="s">
        <v>53</v>
      </c>
      <c r="C464" s="5" t="s">
        <v>54</v>
      </c>
      <c r="D464" s="4" t="s">
        <v>981</v>
      </c>
      <c r="E464" s="15" t="n">
        <v>14850</v>
      </c>
      <c r="F464" s="4" t="s">
        <v>982</v>
      </c>
      <c r="G464" s="16" t="s">
        <v>57</v>
      </c>
      <c r="H464" s="17"/>
      <c r="I464" s="17"/>
    </row>
    <row r="465" customFormat="false" ht="15" hidden="false" customHeight="false" outlineLevel="0" collapsed="false">
      <c r="A465" s="4" t="s">
        <v>17</v>
      </c>
      <c r="B465" s="5" t="s">
        <v>53</v>
      </c>
      <c r="C465" s="5" t="s">
        <v>54</v>
      </c>
      <c r="D465" s="4" t="s">
        <v>983</v>
      </c>
      <c r="E465" s="15" t="n">
        <v>17600</v>
      </c>
      <c r="F465" s="4" t="s">
        <v>984</v>
      </c>
      <c r="G465" s="16" t="s">
        <v>57</v>
      </c>
      <c r="H465" s="17"/>
      <c r="I465" s="17"/>
    </row>
    <row r="466" customFormat="false" ht="15" hidden="false" customHeight="false" outlineLevel="0" collapsed="false">
      <c r="A466" s="4" t="s">
        <v>17</v>
      </c>
      <c r="B466" s="5" t="s">
        <v>53</v>
      </c>
      <c r="C466" s="5" t="s">
        <v>54</v>
      </c>
      <c r="D466" s="4" t="s">
        <v>985</v>
      </c>
      <c r="E466" s="15" t="n">
        <v>28600</v>
      </c>
      <c r="F466" s="4" t="s">
        <v>986</v>
      </c>
      <c r="G466" s="16" t="s">
        <v>57</v>
      </c>
      <c r="H466" s="17"/>
      <c r="I466" s="17"/>
    </row>
    <row r="467" customFormat="false" ht="15" hidden="false" customHeight="false" outlineLevel="0" collapsed="false">
      <c r="A467" s="4" t="s">
        <v>17</v>
      </c>
      <c r="B467" s="5" t="s">
        <v>53</v>
      </c>
      <c r="C467" s="5" t="s">
        <v>54</v>
      </c>
      <c r="D467" s="4" t="s">
        <v>987</v>
      </c>
      <c r="E467" s="15" t="n">
        <v>28600</v>
      </c>
      <c r="F467" s="4" t="s">
        <v>988</v>
      </c>
      <c r="G467" s="16" t="s">
        <v>57</v>
      </c>
      <c r="H467" s="17"/>
      <c r="I467" s="17"/>
    </row>
    <row r="468" customFormat="false" ht="15" hidden="false" customHeight="false" outlineLevel="0" collapsed="false">
      <c r="A468" s="4" t="s">
        <v>17</v>
      </c>
      <c r="B468" s="5" t="s">
        <v>53</v>
      </c>
      <c r="C468" s="5" t="s">
        <v>54</v>
      </c>
      <c r="D468" s="4" t="s">
        <v>989</v>
      </c>
      <c r="E468" s="15" t="n">
        <v>38500</v>
      </c>
      <c r="F468" s="4" t="s">
        <v>990</v>
      </c>
      <c r="G468" s="16" t="s">
        <v>57</v>
      </c>
      <c r="H468" s="17"/>
      <c r="I468" s="17"/>
    </row>
    <row r="469" customFormat="false" ht="15" hidden="false" customHeight="false" outlineLevel="0" collapsed="false">
      <c r="A469" s="4" t="s">
        <v>17</v>
      </c>
      <c r="B469" s="5" t="s">
        <v>53</v>
      </c>
      <c r="C469" s="5" t="s">
        <v>54</v>
      </c>
      <c r="D469" s="4" t="s">
        <v>991</v>
      </c>
      <c r="E469" s="15" t="n">
        <v>29700</v>
      </c>
      <c r="F469" s="4" t="s">
        <v>992</v>
      </c>
      <c r="G469" s="16" t="s">
        <v>57</v>
      </c>
      <c r="H469" s="17"/>
      <c r="I469" s="17"/>
    </row>
    <row r="470" customFormat="false" ht="15" hidden="false" customHeight="false" outlineLevel="0" collapsed="false">
      <c r="A470" s="4" t="s">
        <v>17</v>
      </c>
      <c r="B470" s="5" t="s">
        <v>53</v>
      </c>
      <c r="C470" s="5" t="s">
        <v>54</v>
      </c>
      <c r="D470" s="4" t="s">
        <v>993</v>
      </c>
      <c r="E470" s="15" t="n">
        <v>29700</v>
      </c>
      <c r="F470" s="4" t="s">
        <v>994</v>
      </c>
      <c r="G470" s="16" t="s">
        <v>57</v>
      </c>
      <c r="H470" s="17"/>
      <c r="I470" s="17"/>
    </row>
    <row r="471" customFormat="false" ht="15" hidden="false" customHeight="false" outlineLevel="0" collapsed="false">
      <c r="A471" s="4" t="s">
        <v>17</v>
      </c>
      <c r="B471" s="5" t="s">
        <v>53</v>
      </c>
      <c r="C471" s="5" t="s">
        <v>54</v>
      </c>
      <c r="D471" s="4" t="s">
        <v>995</v>
      </c>
      <c r="E471" s="15" t="n">
        <v>41800</v>
      </c>
      <c r="F471" s="4" t="s">
        <v>996</v>
      </c>
      <c r="G471" s="16" t="s">
        <v>57</v>
      </c>
      <c r="H471" s="17"/>
      <c r="I471" s="17"/>
    </row>
    <row r="472" customFormat="false" ht="15" hidden="false" customHeight="false" outlineLevel="0" collapsed="false">
      <c r="A472" s="4" t="s">
        <v>17</v>
      </c>
      <c r="B472" s="5" t="s">
        <v>53</v>
      </c>
      <c r="C472" s="5" t="s">
        <v>54</v>
      </c>
      <c r="D472" s="4" t="s">
        <v>997</v>
      </c>
      <c r="E472" s="15" t="n">
        <v>41800</v>
      </c>
      <c r="F472" s="4" t="s">
        <v>998</v>
      </c>
      <c r="G472" s="16" t="s">
        <v>57</v>
      </c>
      <c r="H472" s="17"/>
      <c r="I472" s="17"/>
    </row>
    <row r="473" customFormat="false" ht="15" hidden="false" customHeight="false" outlineLevel="0" collapsed="false">
      <c r="A473" s="4" t="s">
        <v>17</v>
      </c>
      <c r="B473" s="5" t="s">
        <v>53</v>
      </c>
      <c r="C473" s="5" t="s">
        <v>54</v>
      </c>
      <c r="D473" s="4" t="s">
        <v>999</v>
      </c>
      <c r="E473" s="15" t="n">
        <v>97900</v>
      </c>
      <c r="F473" s="4" t="s">
        <v>1000</v>
      </c>
      <c r="G473" s="16" t="s">
        <v>57</v>
      </c>
      <c r="H473" s="17"/>
      <c r="I473" s="17"/>
    </row>
    <row r="474" customFormat="false" ht="15" hidden="false" customHeight="false" outlineLevel="0" collapsed="false">
      <c r="A474" s="4" t="s">
        <v>17</v>
      </c>
      <c r="B474" s="5" t="s">
        <v>53</v>
      </c>
      <c r="C474" s="5" t="s">
        <v>54</v>
      </c>
      <c r="D474" s="4" t="s">
        <v>1001</v>
      </c>
      <c r="E474" s="15" t="n">
        <v>97900</v>
      </c>
      <c r="F474" s="4" t="s">
        <v>1002</v>
      </c>
      <c r="G474" s="16" t="s">
        <v>57</v>
      </c>
      <c r="H474" s="17"/>
      <c r="I474" s="17"/>
    </row>
    <row r="475" customFormat="false" ht="15" hidden="false" customHeight="false" outlineLevel="0" collapsed="false">
      <c r="A475" s="4" t="s">
        <v>17</v>
      </c>
      <c r="B475" s="5" t="s">
        <v>53</v>
      </c>
      <c r="C475" s="5" t="s">
        <v>54</v>
      </c>
      <c r="D475" s="4" t="s">
        <v>1003</v>
      </c>
      <c r="E475" s="15" t="n">
        <v>48400</v>
      </c>
      <c r="F475" s="4" t="s">
        <v>1004</v>
      </c>
      <c r="G475" s="16" t="s">
        <v>57</v>
      </c>
      <c r="H475" s="17"/>
      <c r="I475" s="17"/>
    </row>
    <row r="476" customFormat="false" ht="15" hidden="false" customHeight="false" outlineLevel="0" collapsed="false">
      <c r="A476" s="4" t="s">
        <v>17</v>
      </c>
      <c r="B476" s="5" t="s">
        <v>53</v>
      </c>
      <c r="C476" s="5" t="s">
        <v>54</v>
      </c>
      <c r="D476" s="4" t="s">
        <v>1005</v>
      </c>
      <c r="E476" s="15" t="n">
        <v>48400</v>
      </c>
      <c r="F476" s="4" t="s">
        <v>1006</v>
      </c>
      <c r="G476" s="16" t="s">
        <v>57</v>
      </c>
      <c r="H476" s="17"/>
      <c r="I476" s="17"/>
    </row>
    <row r="477" customFormat="false" ht="15" hidden="false" customHeight="false" outlineLevel="0" collapsed="false">
      <c r="A477" s="4" t="s">
        <v>17</v>
      </c>
      <c r="B477" s="5" t="s">
        <v>53</v>
      </c>
      <c r="C477" s="5" t="s">
        <v>54</v>
      </c>
      <c r="D477" s="4" t="s">
        <v>1007</v>
      </c>
      <c r="E477" s="15" t="n">
        <v>36300</v>
      </c>
      <c r="F477" s="4" t="s">
        <v>1008</v>
      </c>
      <c r="G477" s="16" t="s">
        <v>57</v>
      </c>
      <c r="H477" s="17"/>
      <c r="I477" s="17"/>
    </row>
    <row r="478" customFormat="false" ht="15" hidden="false" customHeight="false" outlineLevel="0" collapsed="false">
      <c r="A478" s="4" t="s">
        <v>17</v>
      </c>
      <c r="B478" s="5" t="s">
        <v>53</v>
      </c>
      <c r="C478" s="5" t="s">
        <v>54</v>
      </c>
      <c r="D478" s="4" t="s">
        <v>1009</v>
      </c>
      <c r="E478" s="15" t="n">
        <v>36300</v>
      </c>
      <c r="F478" s="4" t="s">
        <v>1010</v>
      </c>
      <c r="G478" s="16" t="s">
        <v>57</v>
      </c>
      <c r="H478" s="17"/>
      <c r="I478" s="17"/>
    </row>
    <row r="479" customFormat="false" ht="15" hidden="false" customHeight="false" outlineLevel="0" collapsed="false">
      <c r="A479" s="4" t="s">
        <v>17</v>
      </c>
      <c r="B479" s="5" t="s">
        <v>53</v>
      </c>
      <c r="C479" s="5" t="s">
        <v>54</v>
      </c>
      <c r="D479" s="4" t="s">
        <v>1011</v>
      </c>
      <c r="E479" s="15" t="n">
        <v>148500</v>
      </c>
      <c r="F479" s="4" t="s">
        <v>1012</v>
      </c>
      <c r="G479" s="16" t="s">
        <v>57</v>
      </c>
      <c r="H479" s="17"/>
      <c r="I479" s="17"/>
    </row>
    <row r="480" customFormat="false" ht="15" hidden="false" customHeight="false" outlineLevel="0" collapsed="false">
      <c r="A480" s="4" t="s">
        <v>18</v>
      </c>
      <c r="B480" s="5" t="s">
        <v>12</v>
      </c>
      <c r="C480" s="5" t="s">
        <v>54</v>
      </c>
      <c r="D480" s="4" t="s">
        <v>1013</v>
      </c>
      <c r="E480" s="15" t="n">
        <v>86900</v>
      </c>
      <c r="F480" s="4" t="s">
        <v>1014</v>
      </c>
      <c r="G480" s="16" t="s">
        <v>57</v>
      </c>
      <c r="H480" s="17"/>
      <c r="I480" s="17"/>
    </row>
    <row r="481" customFormat="false" ht="15" hidden="false" customHeight="false" outlineLevel="0" collapsed="false">
      <c r="A481" s="4" t="s">
        <v>18</v>
      </c>
      <c r="B481" s="5" t="s">
        <v>12</v>
      </c>
      <c r="C481" s="5" t="s">
        <v>54</v>
      </c>
      <c r="D481" s="4" t="s">
        <v>1015</v>
      </c>
      <c r="E481" s="15" t="n">
        <v>86900</v>
      </c>
      <c r="F481" s="4" t="s">
        <v>1016</v>
      </c>
      <c r="G481" s="16" t="s">
        <v>57</v>
      </c>
      <c r="H481" s="17"/>
      <c r="I481" s="17"/>
    </row>
    <row r="482" customFormat="false" ht="15" hidden="false" customHeight="false" outlineLevel="0" collapsed="false">
      <c r="A482" s="4" t="s">
        <v>18</v>
      </c>
      <c r="B482" s="5" t="s">
        <v>12</v>
      </c>
      <c r="C482" s="5" t="s">
        <v>54</v>
      </c>
      <c r="D482" s="4" t="s">
        <v>1017</v>
      </c>
      <c r="E482" s="15" t="n">
        <v>80300</v>
      </c>
      <c r="F482" s="4" t="s">
        <v>1018</v>
      </c>
      <c r="G482" s="16" t="s">
        <v>57</v>
      </c>
      <c r="H482" s="17"/>
      <c r="I482" s="17"/>
    </row>
    <row r="483" customFormat="false" ht="15" hidden="false" customHeight="false" outlineLevel="0" collapsed="false">
      <c r="A483" s="4" t="s">
        <v>18</v>
      </c>
      <c r="B483" s="5" t="s">
        <v>12</v>
      </c>
      <c r="C483" s="5" t="s">
        <v>54</v>
      </c>
      <c r="D483" s="4" t="s">
        <v>1019</v>
      </c>
      <c r="E483" s="15" t="n">
        <v>80300</v>
      </c>
      <c r="F483" s="4" t="s">
        <v>1020</v>
      </c>
      <c r="G483" s="16" t="s">
        <v>57</v>
      </c>
      <c r="H483" s="17"/>
      <c r="I483" s="17"/>
    </row>
    <row r="484" customFormat="false" ht="15" hidden="false" customHeight="false" outlineLevel="0" collapsed="false">
      <c r="A484" s="4" t="s">
        <v>18</v>
      </c>
      <c r="B484" s="5" t="s">
        <v>12</v>
      </c>
      <c r="C484" s="5" t="s">
        <v>54</v>
      </c>
      <c r="D484" s="4" t="s">
        <v>1021</v>
      </c>
      <c r="E484" s="15" t="n">
        <v>31900</v>
      </c>
      <c r="F484" s="4" t="s">
        <v>1022</v>
      </c>
      <c r="G484" s="16" t="s">
        <v>57</v>
      </c>
      <c r="H484" s="17"/>
      <c r="I484" s="17"/>
    </row>
    <row r="485" customFormat="false" ht="15" hidden="false" customHeight="false" outlineLevel="0" collapsed="false">
      <c r="A485" s="4" t="s">
        <v>18</v>
      </c>
      <c r="B485" s="5" t="s">
        <v>12</v>
      </c>
      <c r="C485" s="5" t="s">
        <v>54</v>
      </c>
      <c r="D485" s="4" t="s">
        <v>1023</v>
      </c>
      <c r="E485" s="15" t="n">
        <v>31900</v>
      </c>
      <c r="F485" s="4" t="s">
        <v>1024</v>
      </c>
      <c r="G485" s="16" t="s">
        <v>57</v>
      </c>
      <c r="H485" s="17"/>
      <c r="I485" s="17"/>
    </row>
    <row r="486" customFormat="false" ht="15" hidden="false" customHeight="false" outlineLevel="0" collapsed="false">
      <c r="A486" s="4" t="s">
        <v>18</v>
      </c>
      <c r="B486" s="5" t="s">
        <v>12</v>
      </c>
      <c r="C486" s="5" t="s">
        <v>54</v>
      </c>
      <c r="D486" s="4" t="s">
        <v>1025</v>
      </c>
      <c r="E486" s="15" t="n">
        <v>59400</v>
      </c>
      <c r="F486" s="4" t="s">
        <v>1026</v>
      </c>
      <c r="G486" s="16" t="s">
        <v>57</v>
      </c>
      <c r="H486" s="17"/>
      <c r="I486" s="17"/>
    </row>
    <row r="487" customFormat="false" ht="15" hidden="false" customHeight="false" outlineLevel="0" collapsed="false">
      <c r="A487" s="4" t="s">
        <v>18</v>
      </c>
      <c r="B487" s="5" t="s">
        <v>12</v>
      </c>
      <c r="C487" s="5" t="s">
        <v>54</v>
      </c>
      <c r="D487" s="4" t="s">
        <v>1027</v>
      </c>
      <c r="E487" s="15" t="n">
        <v>59400</v>
      </c>
      <c r="F487" s="4" t="s">
        <v>1028</v>
      </c>
      <c r="G487" s="16" t="s">
        <v>57</v>
      </c>
      <c r="H487" s="17"/>
      <c r="I487" s="17"/>
    </row>
    <row r="488" customFormat="false" ht="15" hidden="false" customHeight="false" outlineLevel="0" collapsed="false">
      <c r="A488" s="4" t="s">
        <v>18</v>
      </c>
      <c r="B488" s="5" t="s">
        <v>12</v>
      </c>
      <c r="C488" s="5" t="s">
        <v>54</v>
      </c>
      <c r="D488" s="4" t="s">
        <v>1029</v>
      </c>
      <c r="E488" s="15" t="n">
        <v>97900</v>
      </c>
      <c r="F488" s="4" t="s">
        <v>1030</v>
      </c>
      <c r="G488" s="16" t="s">
        <v>57</v>
      </c>
      <c r="H488" s="17"/>
      <c r="I488" s="17"/>
    </row>
    <row r="489" customFormat="false" ht="15" hidden="false" customHeight="false" outlineLevel="0" collapsed="false">
      <c r="A489" s="4" t="s">
        <v>18</v>
      </c>
      <c r="B489" s="5" t="s">
        <v>12</v>
      </c>
      <c r="C489" s="5" t="s">
        <v>54</v>
      </c>
      <c r="D489" s="4" t="s">
        <v>1031</v>
      </c>
      <c r="E489" s="15" t="n">
        <v>97900</v>
      </c>
      <c r="F489" s="4" t="s">
        <v>1032</v>
      </c>
      <c r="G489" s="16" t="s">
        <v>57</v>
      </c>
      <c r="H489" s="17"/>
      <c r="I489" s="17"/>
    </row>
    <row r="490" customFormat="false" ht="15" hidden="false" customHeight="false" outlineLevel="0" collapsed="false">
      <c r="A490" s="4" t="s">
        <v>18</v>
      </c>
      <c r="B490" s="5" t="s">
        <v>12</v>
      </c>
      <c r="C490" s="5" t="s">
        <v>54</v>
      </c>
      <c r="D490" s="4" t="s">
        <v>1033</v>
      </c>
      <c r="E490" s="15" t="n">
        <v>115500</v>
      </c>
      <c r="F490" s="4" t="s">
        <v>1034</v>
      </c>
      <c r="G490" s="16" t="s">
        <v>57</v>
      </c>
      <c r="H490" s="17"/>
      <c r="I490" s="17"/>
    </row>
    <row r="491" customFormat="false" ht="15" hidden="false" customHeight="false" outlineLevel="0" collapsed="false">
      <c r="A491" s="4" t="s">
        <v>18</v>
      </c>
      <c r="B491" s="5" t="s">
        <v>12</v>
      </c>
      <c r="C491" s="5" t="s">
        <v>54</v>
      </c>
      <c r="D491" s="4" t="s">
        <v>1035</v>
      </c>
      <c r="E491" s="15" t="n">
        <v>115500</v>
      </c>
      <c r="F491" s="4" t="s">
        <v>1036</v>
      </c>
      <c r="G491" s="16" t="s">
        <v>57</v>
      </c>
      <c r="H491" s="17"/>
      <c r="I491" s="17"/>
    </row>
    <row r="492" customFormat="false" ht="15" hidden="false" customHeight="false" outlineLevel="0" collapsed="false">
      <c r="A492" s="4" t="s">
        <v>18</v>
      </c>
      <c r="B492" s="5" t="s">
        <v>12</v>
      </c>
      <c r="C492" s="5" t="s">
        <v>54</v>
      </c>
      <c r="D492" s="4" t="s">
        <v>1037</v>
      </c>
      <c r="E492" s="15" t="n">
        <v>70400</v>
      </c>
      <c r="F492" s="4" t="s">
        <v>1038</v>
      </c>
      <c r="G492" s="16" t="s">
        <v>57</v>
      </c>
      <c r="H492" s="17"/>
      <c r="I492" s="17"/>
    </row>
    <row r="493" customFormat="false" ht="15" hidden="false" customHeight="false" outlineLevel="0" collapsed="false">
      <c r="A493" s="4" t="s">
        <v>18</v>
      </c>
      <c r="B493" s="5" t="s">
        <v>12</v>
      </c>
      <c r="C493" s="5" t="s">
        <v>54</v>
      </c>
      <c r="D493" s="4" t="s">
        <v>1039</v>
      </c>
      <c r="E493" s="15" t="n">
        <v>70400</v>
      </c>
      <c r="F493" s="4" t="s">
        <v>1040</v>
      </c>
      <c r="G493" s="16" t="s">
        <v>57</v>
      </c>
      <c r="H493" s="17"/>
      <c r="I493" s="17"/>
    </row>
    <row r="494" customFormat="false" ht="15" hidden="false" customHeight="false" outlineLevel="0" collapsed="false">
      <c r="A494" s="4" t="s">
        <v>18</v>
      </c>
      <c r="B494" s="5" t="s">
        <v>12</v>
      </c>
      <c r="C494" s="5" t="s">
        <v>54</v>
      </c>
      <c r="D494" s="4" t="s">
        <v>1041</v>
      </c>
      <c r="E494" s="15" t="n">
        <v>53900</v>
      </c>
      <c r="F494" s="4" t="s">
        <v>1042</v>
      </c>
      <c r="G494" s="16" t="s">
        <v>57</v>
      </c>
      <c r="H494" s="17"/>
      <c r="I494" s="17"/>
    </row>
    <row r="495" customFormat="false" ht="15" hidden="false" customHeight="false" outlineLevel="0" collapsed="false">
      <c r="A495" s="4" t="s">
        <v>18</v>
      </c>
      <c r="B495" s="5" t="s">
        <v>12</v>
      </c>
      <c r="C495" s="5" t="s">
        <v>54</v>
      </c>
      <c r="D495" s="4" t="s">
        <v>1043</v>
      </c>
      <c r="E495" s="15" t="n">
        <v>53900</v>
      </c>
      <c r="F495" s="4" t="s">
        <v>1044</v>
      </c>
      <c r="G495" s="16" t="s">
        <v>57</v>
      </c>
      <c r="H495" s="17"/>
      <c r="I495" s="17"/>
    </row>
    <row r="496" customFormat="false" ht="15" hidden="false" customHeight="false" outlineLevel="0" collapsed="false">
      <c r="A496" s="4" t="s">
        <v>18</v>
      </c>
      <c r="B496" s="5" t="s">
        <v>12</v>
      </c>
      <c r="C496" s="5" t="s">
        <v>54</v>
      </c>
      <c r="D496" s="4" t="s">
        <v>1045</v>
      </c>
      <c r="E496" s="15" t="n">
        <v>53900</v>
      </c>
      <c r="F496" s="4" t="s">
        <v>1046</v>
      </c>
      <c r="G496" s="16" t="s">
        <v>57</v>
      </c>
      <c r="H496" s="17"/>
      <c r="I496" s="17"/>
    </row>
    <row r="497" customFormat="false" ht="15" hidden="false" customHeight="false" outlineLevel="0" collapsed="false">
      <c r="A497" s="4" t="s">
        <v>18</v>
      </c>
      <c r="B497" s="5" t="s">
        <v>12</v>
      </c>
      <c r="C497" s="5" t="s">
        <v>54</v>
      </c>
      <c r="D497" s="4" t="s">
        <v>1047</v>
      </c>
      <c r="E497" s="15" t="n">
        <v>53900</v>
      </c>
      <c r="F497" s="4" t="s">
        <v>1048</v>
      </c>
      <c r="G497" s="16" t="s">
        <v>57</v>
      </c>
      <c r="H497" s="17"/>
      <c r="I497" s="17"/>
    </row>
    <row r="498" customFormat="false" ht="15" hidden="false" customHeight="false" outlineLevel="0" collapsed="false">
      <c r="A498" s="4" t="s">
        <v>18</v>
      </c>
      <c r="B498" s="5" t="s">
        <v>12</v>
      </c>
      <c r="C498" s="5" t="s">
        <v>54</v>
      </c>
      <c r="D498" s="4" t="s">
        <v>1049</v>
      </c>
      <c r="E498" s="15" t="n">
        <v>51700</v>
      </c>
      <c r="F498" s="4" t="s">
        <v>1050</v>
      </c>
      <c r="G498" s="16" t="s">
        <v>57</v>
      </c>
      <c r="H498" s="17"/>
      <c r="I498" s="17"/>
    </row>
    <row r="499" customFormat="false" ht="15" hidden="false" customHeight="false" outlineLevel="0" collapsed="false">
      <c r="A499" s="4" t="s">
        <v>18</v>
      </c>
      <c r="B499" s="5" t="s">
        <v>12</v>
      </c>
      <c r="C499" s="5" t="s">
        <v>54</v>
      </c>
      <c r="D499" s="4" t="s">
        <v>1051</v>
      </c>
      <c r="E499" s="15" t="n">
        <v>51700</v>
      </c>
      <c r="F499" s="4" t="s">
        <v>1052</v>
      </c>
      <c r="G499" s="16" t="s">
        <v>57</v>
      </c>
      <c r="H499" s="17"/>
      <c r="I499" s="17"/>
    </row>
    <row r="500" customFormat="false" ht="15" hidden="false" customHeight="false" outlineLevel="0" collapsed="false">
      <c r="A500" s="4" t="s">
        <v>18</v>
      </c>
      <c r="B500" s="5" t="s">
        <v>12</v>
      </c>
      <c r="C500" s="5" t="s">
        <v>54</v>
      </c>
      <c r="D500" s="4" t="s">
        <v>1053</v>
      </c>
      <c r="E500" s="15" t="n">
        <v>28600</v>
      </c>
      <c r="F500" s="4" t="s">
        <v>1054</v>
      </c>
      <c r="G500" s="16" t="s">
        <v>57</v>
      </c>
      <c r="H500" s="17"/>
      <c r="I500" s="17"/>
    </row>
    <row r="501" customFormat="false" ht="15" hidden="false" customHeight="false" outlineLevel="0" collapsed="false">
      <c r="A501" s="4" t="s">
        <v>18</v>
      </c>
      <c r="B501" s="5" t="s">
        <v>12</v>
      </c>
      <c r="C501" s="5" t="s">
        <v>54</v>
      </c>
      <c r="D501" s="4" t="s">
        <v>1055</v>
      </c>
      <c r="E501" s="15" t="n">
        <v>15950</v>
      </c>
      <c r="F501" s="4" t="s">
        <v>1056</v>
      </c>
      <c r="G501" s="16" t="s">
        <v>57</v>
      </c>
      <c r="H501" s="17"/>
      <c r="I501" s="17"/>
    </row>
    <row r="502" customFormat="false" ht="15" hidden="false" customHeight="false" outlineLevel="0" collapsed="false">
      <c r="A502" s="4" t="s">
        <v>18</v>
      </c>
      <c r="B502" s="5" t="s">
        <v>12</v>
      </c>
      <c r="C502" s="5" t="s">
        <v>54</v>
      </c>
      <c r="D502" s="4" t="s">
        <v>1057</v>
      </c>
      <c r="E502" s="15" t="n">
        <v>15950</v>
      </c>
      <c r="F502" s="4" t="s">
        <v>1058</v>
      </c>
      <c r="G502" s="16" t="s">
        <v>57</v>
      </c>
      <c r="H502" s="17"/>
      <c r="I502" s="17"/>
    </row>
    <row r="503" customFormat="false" ht="15" hidden="false" customHeight="false" outlineLevel="0" collapsed="false">
      <c r="A503" s="4" t="s">
        <v>18</v>
      </c>
      <c r="B503" s="5" t="s">
        <v>12</v>
      </c>
      <c r="C503" s="5" t="s">
        <v>54</v>
      </c>
      <c r="D503" s="4" t="s">
        <v>981</v>
      </c>
      <c r="E503" s="15" t="n">
        <v>14850</v>
      </c>
      <c r="F503" s="4" t="s">
        <v>982</v>
      </c>
      <c r="G503" s="16" t="s">
        <v>57</v>
      </c>
      <c r="H503" s="17"/>
      <c r="I503" s="17"/>
    </row>
    <row r="504" customFormat="false" ht="15" hidden="false" customHeight="false" outlineLevel="0" collapsed="false">
      <c r="A504" s="4" t="s">
        <v>18</v>
      </c>
      <c r="B504" s="5" t="s">
        <v>12</v>
      </c>
      <c r="C504" s="5" t="s">
        <v>54</v>
      </c>
      <c r="D504" s="4" t="s">
        <v>983</v>
      </c>
      <c r="E504" s="15" t="n">
        <v>17600</v>
      </c>
      <c r="F504" s="4" t="s">
        <v>984</v>
      </c>
      <c r="G504" s="16" t="s">
        <v>57</v>
      </c>
      <c r="H504" s="17"/>
      <c r="I504" s="17"/>
    </row>
    <row r="505" customFormat="false" ht="15" hidden="false" customHeight="false" outlineLevel="0" collapsed="false">
      <c r="A505" s="4" t="s">
        <v>18</v>
      </c>
      <c r="B505" s="5" t="s">
        <v>12</v>
      </c>
      <c r="C505" s="5" t="s">
        <v>54</v>
      </c>
      <c r="D505" s="4" t="s">
        <v>1059</v>
      </c>
      <c r="E505" s="15" t="n">
        <v>36300</v>
      </c>
      <c r="F505" s="4" t="s">
        <v>1060</v>
      </c>
      <c r="G505" s="16" t="s">
        <v>57</v>
      </c>
      <c r="H505" s="17"/>
      <c r="I505" s="17"/>
    </row>
    <row r="506" customFormat="false" ht="15" hidden="false" customHeight="false" outlineLevel="0" collapsed="false">
      <c r="A506" s="4" t="s">
        <v>18</v>
      </c>
      <c r="B506" s="5" t="s">
        <v>12</v>
      </c>
      <c r="C506" s="5" t="s">
        <v>54</v>
      </c>
      <c r="D506" s="4" t="s">
        <v>1061</v>
      </c>
      <c r="E506" s="15" t="n">
        <v>36300</v>
      </c>
      <c r="F506" s="4" t="s">
        <v>1062</v>
      </c>
      <c r="G506" s="16" t="s">
        <v>57</v>
      </c>
      <c r="H506" s="17"/>
      <c r="I506" s="17"/>
    </row>
    <row r="507" customFormat="false" ht="15" hidden="false" customHeight="false" outlineLevel="0" collapsed="false">
      <c r="A507" s="4" t="s">
        <v>18</v>
      </c>
      <c r="B507" s="5" t="s">
        <v>12</v>
      </c>
      <c r="C507" s="5" t="s">
        <v>54</v>
      </c>
      <c r="D507" s="4" t="s">
        <v>1063</v>
      </c>
      <c r="E507" s="15" t="n">
        <v>28600</v>
      </c>
      <c r="F507" s="4" t="s">
        <v>1064</v>
      </c>
      <c r="G507" s="16" t="s">
        <v>57</v>
      </c>
      <c r="H507" s="17"/>
      <c r="I507" s="17"/>
    </row>
    <row r="508" customFormat="false" ht="15" hidden="false" customHeight="false" outlineLevel="0" collapsed="false">
      <c r="A508" s="4" t="s">
        <v>18</v>
      </c>
      <c r="B508" s="5" t="s">
        <v>12</v>
      </c>
      <c r="C508" s="5" t="s">
        <v>54</v>
      </c>
      <c r="D508" s="4" t="s">
        <v>1065</v>
      </c>
      <c r="E508" s="15" t="n">
        <v>28600</v>
      </c>
      <c r="F508" s="4" t="s">
        <v>1066</v>
      </c>
      <c r="G508" s="16" t="s">
        <v>57</v>
      </c>
      <c r="H508" s="17"/>
      <c r="I508" s="17"/>
    </row>
    <row r="509" customFormat="false" ht="15" hidden="false" customHeight="false" outlineLevel="0" collapsed="false">
      <c r="A509" s="4" t="s">
        <v>18</v>
      </c>
      <c r="B509" s="5" t="s">
        <v>12</v>
      </c>
      <c r="C509" s="5" t="s">
        <v>54</v>
      </c>
      <c r="D509" s="4" t="s">
        <v>1067</v>
      </c>
      <c r="E509" s="15" t="n">
        <v>36300</v>
      </c>
      <c r="F509" s="4" t="s">
        <v>1068</v>
      </c>
      <c r="G509" s="16" t="s">
        <v>57</v>
      </c>
      <c r="H509" s="17"/>
      <c r="I509" s="17"/>
    </row>
    <row r="510" customFormat="false" ht="15" hidden="false" customHeight="false" outlineLevel="0" collapsed="false">
      <c r="A510" s="4" t="s">
        <v>18</v>
      </c>
      <c r="B510" s="5" t="s">
        <v>12</v>
      </c>
      <c r="C510" s="5" t="s">
        <v>54</v>
      </c>
      <c r="D510" s="4" t="s">
        <v>1069</v>
      </c>
      <c r="E510" s="15" t="n">
        <v>36300</v>
      </c>
      <c r="F510" s="4" t="s">
        <v>1070</v>
      </c>
      <c r="G510" s="16" t="s">
        <v>57</v>
      </c>
      <c r="H510" s="17"/>
      <c r="I510" s="17"/>
    </row>
    <row r="511" customFormat="false" ht="15" hidden="false" customHeight="false" outlineLevel="0" collapsed="false">
      <c r="A511" s="4" t="s">
        <v>18</v>
      </c>
      <c r="B511" s="5" t="s">
        <v>12</v>
      </c>
      <c r="C511" s="5" t="s">
        <v>54</v>
      </c>
      <c r="D511" s="4" t="s">
        <v>1071</v>
      </c>
      <c r="E511" s="15" t="n">
        <v>40700</v>
      </c>
      <c r="F511" s="4" t="s">
        <v>1072</v>
      </c>
      <c r="G511" s="16" t="s">
        <v>57</v>
      </c>
      <c r="H511" s="17"/>
      <c r="I511" s="17"/>
    </row>
    <row r="512" customFormat="false" ht="15" hidden="false" customHeight="false" outlineLevel="0" collapsed="false">
      <c r="A512" s="4" t="s">
        <v>18</v>
      </c>
      <c r="B512" s="5" t="s">
        <v>12</v>
      </c>
      <c r="C512" s="5" t="s">
        <v>54</v>
      </c>
      <c r="D512" s="4" t="s">
        <v>1073</v>
      </c>
      <c r="E512" s="15" t="n">
        <v>25300</v>
      </c>
      <c r="F512" s="4" t="s">
        <v>1074</v>
      </c>
      <c r="G512" s="16" t="s">
        <v>57</v>
      </c>
      <c r="H512" s="17"/>
      <c r="I512" s="17"/>
    </row>
    <row r="513" customFormat="false" ht="15" hidden="false" customHeight="false" outlineLevel="0" collapsed="false">
      <c r="A513" s="4" t="s">
        <v>18</v>
      </c>
      <c r="B513" s="5" t="s">
        <v>12</v>
      </c>
      <c r="C513" s="5" t="s">
        <v>54</v>
      </c>
      <c r="D513" s="4" t="s">
        <v>1075</v>
      </c>
      <c r="E513" s="15" t="n">
        <v>25300</v>
      </c>
      <c r="F513" s="4" t="s">
        <v>1076</v>
      </c>
      <c r="G513" s="16" t="s">
        <v>57</v>
      </c>
      <c r="H513" s="17"/>
      <c r="I513" s="17"/>
    </row>
    <row r="514" customFormat="false" ht="15" hidden="false" customHeight="false" outlineLevel="0" collapsed="false">
      <c r="A514" s="4" t="s">
        <v>18</v>
      </c>
      <c r="B514" s="5" t="s">
        <v>12</v>
      </c>
      <c r="C514" s="5" t="s">
        <v>54</v>
      </c>
      <c r="D514" s="4" t="s">
        <v>1077</v>
      </c>
      <c r="E514" s="15" t="n">
        <v>19800</v>
      </c>
      <c r="F514" s="4" t="s">
        <v>1078</v>
      </c>
      <c r="G514" s="16" t="s">
        <v>57</v>
      </c>
      <c r="H514" s="17"/>
      <c r="I514" s="17"/>
    </row>
    <row r="515" customFormat="false" ht="15" hidden="false" customHeight="false" outlineLevel="0" collapsed="false">
      <c r="A515" s="4" t="s">
        <v>18</v>
      </c>
      <c r="B515" s="5" t="s">
        <v>12</v>
      </c>
      <c r="C515" s="5" t="s">
        <v>54</v>
      </c>
      <c r="D515" s="4" t="s">
        <v>1079</v>
      </c>
      <c r="E515" s="15" t="n">
        <v>19800</v>
      </c>
      <c r="F515" s="4" t="s">
        <v>1080</v>
      </c>
      <c r="G515" s="16" t="s">
        <v>57</v>
      </c>
      <c r="H515" s="17"/>
      <c r="I515" s="17"/>
    </row>
    <row r="516" customFormat="false" ht="15" hidden="false" customHeight="false" outlineLevel="0" collapsed="false">
      <c r="A516" s="4" t="s">
        <v>18</v>
      </c>
      <c r="B516" s="5" t="s">
        <v>12</v>
      </c>
      <c r="C516" s="5" t="s">
        <v>54</v>
      </c>
      <c r="D516" s="4" t="s">
        <v>1081</v>
      </c>
      <c r="E516" s="15" t="n">
        <v>25300</v>
      </c>
      <c r="F516" s="4" t="s">
        <v>1082</v>
      </c>
      <c r="G516" s="16" t="s">
        <v>57</v>
      </c>
      <c r="H516" s="17"/>
      <c r="I516" s="17"/>
    </row>
    <row r="517" customFormat="false" ht="15" hidden="false" customHeight="false" outlineLevel="0" collapsed="false">
      <c r="A517" s="4" t="s">
        <v>18</v>
      </c>
      <c r="B517" s="5" t="s">
        <v>12</v>
      </c>
      <c r="C517" s="5" t="s">
        <v>54</v>
      </c>
      <c r="D517" s="4" t="s">
        <v>1083</v>
      </c>
      <c r="E517" s="15" t="n">
        <v>25300</v>
      </c>
      <c r="F517" s="4" t="s">
        <v>1084</v>
      </c>
      <c r="G517" s="16" t="s">
        <v>57</v>
      </c>
      <c r="H517" s="17"/>
      <c r="I517" s="17"/>
    </row>
    <row r="518" customFormat="false" ht="15" hidden="false" customHeight="false" outlineLevel="0" collapsed="false">
      <c r="A518" s="4" t="s">
        <v>18</v>
      </c>
      <c r="B518" s="5" t="s">
        <v>12</v>
      </c>
      <c r="C518" s="5" t="s">
        <v>54</v>
      </c>
      <c r="D518" s="4" t="s">
        <v>1085</v>
      </c>
      <c r="E518" s="15" t="n">
        <v>29700</v>
      </c>
      <c r="F518" s="4" t="s">
        <v>1086</v>
      </c>
      <c r="G518" s="16" t="s">
        <v>57</v>
      </c>
      <c r="H518" s="17"/>
      <c r="I518" s="17"/>
    </row>
    <row r="519" customFormat="false" ht="15" hidden="false" customHeight="false" outlineLevel="0" collapsed="false">
      <c r="A519" s="4" t="s">
        <v>18</v>
      </c>
      <c r="B519" s="5" t="s">
        <v>12</v>
      </c>
      <c r="C519" s="5" t="s">
        <v>54</v>
      </c>
      <c r="D519" s="4" t="s">
        <v>1087</v>
      </c>
      <c r="E519" s="15" t="n">
        <v>29700</v>
      </c>
      <c r="F519" s="4" t="s">
        <v>1088</v>
      </c>
      <c r="G519" s="16" t="s">
        <v>57</v>
      </c>
      <c r="H519" s="17"/>
      <c r="I519" s="17"/>
    </row>
    <row r="520" customFormat="false" ht="15" hidden="false" customHeight="false" outlineLevel="0" collapsed="false">
      <c r="A520" s="4" t="s">
        <v>18</v>
      </c>
      <c r="B520" s="5" t="s">
        <v>13</v>
      </c>
      <c r="C520" s="5" t="s">
        <v>243</v>
      </c>
      <c r="D520" s="4" t="s">
        <v>1089</v>
      </c>
      <c r="E520" s="15" t="n">
        <v>14300</v>
      </c>
      <c r="F520" s="4" t="s">
        <v>1090</v>
      </c>
      <c r="G520" s="16" t="s">
        <v>57</v>
      </c>
      <c r="H520" s="17"/>
      <c r="I520" s="17"/>
    </row>
    <row r="521" customFormat="false" ht="15" hidden="false" customHeight="false" outlineLevel="0" collapsed="false">
      <c r="A521" s="4" t="s">
        <v>18</v>
      </c>
      <c r="B521" s="5" t="s">
        <v>13</v>
      </c>
      <c r="C521" s="5" t="s">
        <v>243</v>
      </c>
      <c r="D521" s="4" t="s">
        <v>1091</v>
      </c>
      <c r="E521" s="15" t="n">
        <v>14300</v>
      </c>
      <c r="F521" s="4" t="s">
        <v>1092</v>
      </c>
      <c r="G521" s="16" t="s">
        <v>57</v>
      </c>
      <c r="H521" s="17"/>
      <c r="I521" s="17"/>
    </row>
    <row r="522" customFormat="false" ht="15" hidden="false" customHeight="false" outlineLevel="0" collapsed="false">
      <c r="A522" s="4" t="s">
        <v>18</v>
      </c>
      <c r="B522" s="5" t="s">
        <v>13</v>
      </c>
      <c r="C522" s="5" t="s">
        <v>243</v>
      </c>
      <c r="D522" s="4" t="s">
        <v>1093</v>
      </c>
      <c r="E522" s="15" t="n">
        <v>20900</v>
      </c>
      <c r="F522" s="4" t="s">
        <v>1094</v>
      </c>
      <c r="G522" s="16" t="s">
        <v>57</v>
      </c>
      <c r="H522" s="17"/>
      <c r="I522" s="17"/>
    </row>
    <row r="523" customFormat="false" ht="15" hidden="false" customHeight="false" outlineLevel="0" collapsed="false">
      <c r="A523" s="4" t="s">
        <v>18</v>
      </c>
      <c r="B523" s="5" t="s">
        <v>13</v>
      </c>
      <c r="C523" s="5" t="s">
        <v>243</v>
      </c>
      <c r="D523" s="4" t="s">
        <v>1095</v>
      </c>
      <c r="E523" s="15" t="n">
        <v>20900</v>
      </c>
      <c r="F523" s="4" t="s">
        <v>1096</v>
      </c>
      <c r="G523" s="16" t="s">
        <v>57</v>
      </c>
      <c r="H523" s="17"/>
      <c r="I523" s="17"/>
    </row>
    <row r="524" customFormat="false" ht="15" hidden="false" customHeight="false" outlineLevel="0" collapsed="false">
      <c r="A524" s="4" t="s">
        <v>18</v>
      </c>
      <c r="B524" s="5" t="s">
        <v>13</v>
      </c>
      <c r="C524" s="5" t="s">
        <v>243</v>
      </c>
      <c r="D524" s="4" t="s">
        <v>1097</v>
      </c>
      <c r="E524" s="15" t="n">
        <v>20900</v>
      </c>
      <c r="F524" s="4" t="s">
        <v>1098</v>
      </c>
      <c r="G524" s="16" t="s">
        <v>57</v>
      </c>
      <c r="H524" s="17"/>
      <c r="I524" s="17"/>
    </row>
    <row r="525" customFormat="false" ht="15" hidden="false" customHeight="false" outlineLevel="0" collapsed="false">
      <c r="A525" s="4" t="s">
        <v>18</v>
      </c>
      <c r="B525" s="5" t="s">
        <v>13</v>
      </c>
      <c r="C525" s="5" t="s">
        <v>243</v>
      </c>
      <c r="D525" s="4" t="s">
        <v>1099</v>
      </c>
      <c r="E525" s="15" t="n">
        <v>20900</v>
      </c>
      <c r="F525" s="4" t="s">
        <v>1100</v>
      </c>
      <c r="G525" s="16" t="s">
        <v>57</v>
      </c>
      <c r="H525" s="17"/>
      <c r="I525" s="17"/>
    </row>
    <row r="526" customFormat="false" ht="15" hidden="false" customHeight="false" outlineLevel="0" collapsed="false">
      <c r="A526" s="4" t="s">
        <v>18</v>
      </c>
      <c r="B526" s="5" t="s">
        <v>13</v>
      </c>
      <c r="C526" s="5" t="s">
        <v>243</v>
      </c>
      <c r="D526" s="4" t="s">
        <v>1101</v>
      </c>
      <c r="E526" s="15" t="n">
        <v>29700</v>
      </c>
      <c r="F526" s="4" t="s">
        <v>1102</v>
      </c>
      <c r="G526" s="16" t="s">
        <v>57</v>
      </c>
      <c r="H526" s="17"/>
      <c r="I526" s="17"/>
    </row>
    <row r="527" customFormat="false" ht="15" hidden="false" customHeight="false" outlineLevel="0" collapsed="false">
      <c r="A527" s="4" t="s">
        <v>18</v>
      </c>
      <c r="B527" s="5" t="s">
        <v>13</v>
      </c>
      <c r="C527" s="5" t="s">
        <v>243</v>
      </c>
      <c r="D527" s="4" t="s">
        <v>1103</v>
      </c>
      <c r="E527" s="15" t="n">
        <v>22000</v>
      </c>
      <c r="F527" s="4" t="s">
        <v>1104</v>
      </c>
      <c r="G527" s="16" t="s">
        <v>57</v>
      </c>
      <c r="H527" s="17"/>
      <c r="I527" s="17"/>
    </row>
    <row r="528" customFormat="false" ht="15" hidden="false" customHeight="false" outlineLevel="0" collapsed="false">
      <c r="A528" s="4" t="s">
        <v>19</v>
      </c>
      <c r="B528" s="5" t="s">
        <v>12</v>
      </c>
      <c r="C528" s="5" t="s">
        <v>54</v>
      </c>
      <c r="D528" s="4" t="s">
        <v>1105</v>
      </c>
      <c r="E528" s="15" t="n">
        <v>19800</v>
      </c>
      <c r="F528" s="4" t="s">
        <v>1106</v>
      </c>
      <c r="G528" s="16" t="s">
        <v>57</v>
      </c>
      <c r="H528" s="17"/>
      <c r="I528" s="17"/>
    </row>
    <row r="529" customFormat="false" ht="15" hidden="false" customHeight="false" outlineLevel="0" collapsed="false">
      <c r="A529" s="4" t="s">
        <v>19</v>
      </c>
      <c r="B529" s="5" t="s">
        <v>12</v>
      </c>
      <c r="C529" s="5" t="s">
        <v>54</v>
      </c>
      <c r="D529" s="4" t="s">
        <v>1107</v>
      </c>
      <c r="E529" s="15" t="n">
        <v>27500</v>
      </c>
      <c r="F529" s="4" t="s">
        <v>1108</v>
      </c>
      <c r="G529" s="16" t="s">
        <v>57</v>
      </c>
      <c r="H529" s="17"/>
      <c r="I529" s="17"/>
    </row>
    <row r="530" customFormat="false" ht="15" hidden="false" customHeight="false" outlineLevel="0" collapsed="false">
      <c r="A530" s="4" t="s">
        <v>19</v>
      </c>
      <c r="B530" s="5" t="s">
        <v>12</v>
      </c>
      <c r="C530" s="5" t="s">
        <v>54</v>
      </c>
      <c r="D530" s="4" t="s">
        <v>1109</v>
      </c>
      <c r="E530" s="15" t="n">
        <v>48400</v>
      </c>
      <c r="F530" s="4" t="s">
        <v>1110</v>
      </c>
      <c r="G530" s="16" t="s">
        <v>57</v>
      </c>
      <c r="H530" s="17"/>
      <c r="I530" s="17"/>
    </row>
    <row r="531" customFormat="false" ht="15" hidden="false" customHeight="false" outlineLevel="0" collapsed="false">
      <c r="A531" s="4" t="s">
        <v>19</v>
      </c>
      <c r="B531" s="5" t="s">
        <v>12</v>
      </c>
      <c r="C531" s="5" t="s">
        <v>54</v>
      </c>
      <c r="D531" s="4" t="s">
        <v>1111</v>
      </c>
      <c r="E531" s="15" t="n">
        <v>63800</v>
      </c>
      <c r="F531" s="4" t="s">
        <v>1112</v>
      </c>
      <c r="G531" s="16" t="s">
        <v>57</v>
      </c>
      <c r="H531" s="17"/>
      <c r="I531" s="17"/>
    </row>
    <row r="532" customFormat="false" ht="15" hidden="false" customHeight="false" outlineLevel="0" collapsed="false">
      <c r="A532" s="4" t="s">
        <v>19</v>
      </c>
      <c r="B532" s="5" t="s">
        <v>12</v>
      </c>
      <c r="C532" s="5" t="s">
        <v>54</v>
      </c>
      <c r="D532" s="4" t="s">
        <v>1113</v>
      </c>
      <c r="E532" s="15" t="n">
        <v>63800</v>
      </c>
      <c r="F532" s="4" t="s">
        <v>1114</v>
      </c>
      <c r="G532" s="16" t="s">
        <v>57</v>
      </c>
      <c r="H532" s="17"/>
      <c r="I532" s="17"/>
    </row>
    <row r="533" customFormat="false" ht="15" hidden="false" customHeight="false" outlineLevel="0" collapsed="false">
      <c r="A533" s="4" t="s">
        <v>19</v>
      </c>
      <c r="B533" s="5" t="s">
        <v>12</v>
      </c>
      <c r="C533" s="5" t="s">
        <v>54</v>
      </c>
      <c r="D533" s="4" t="s">
        <v>1115</v>
      </c>
      <c r="E533" s="15" t="n">
        <v>19800</v>
      </c>
      <c r="F533" s="4" t="s">
        <v>1116</v>
      </c>
      <c r="G533" s="16" t="s">
        <v>57</v>
      </c>
      <c r="H533" s="17"/>
      <c r="I533" s="17"/>
    </row>
    <row r="534" customFormat="false" ht="15" hidden="false" customHeight="false" outlineLevel="0" collapsed="false">
      <c r="A534" s="4" t="s">
        <v>19</v>
      </c>
      <c r="B534" s="5" t="s">
        <v>12</v>
      </c>
      <c r="C534" s="5" t="s">
        <v>54</v>
      </c>
      <c r="D534" s="4" t="s">
        <v>1117</v>
      </c>
      <c r="E534" s="15" t="n">
        <v>20900</v>
      </c>
      <c r="F534" s="4" t="s">
        <v>1118</v>
      </c>
      <c r="G534" s="16" t="s">
        <v>57</v>
      </c>
      <c r="H534" s="17"/>
      <c r="I534" s="17"/>
    </row>
    <row r="535" customFormat="false" ht="15" hidden="false" customHeight="false" outlineLevel="0" collapsed="false">
      <c r="A535" s="4" t="s">
        <v>19</v>
      </c>
      <c r="B535" s="5" t="s">
        <v>12</v>
      </c>
      <c r="C535" s="5" t="s">
        <v>54</v>
      </c>
      <c r="D535" s="4" t="s">
        <v>1119</v>
      </c>
      <c r="E535" s="15" t="n">
        <v>14300</v>
      </c>
      <c r="F535" s="4" t="s">
        <v>1120</v>
      </c>
      <c r="G535" s="16" t="s">
        <v>57</v>
      </c>
      <c r="H535" s="17"/>
      <c r="I535" s="17"/>
    </row>
    <row r="536" customFormat="false" ht="15" hidden="false" customHeight="false" outlineLevel="0" collapsed="false">
      <c r="A536" s="4" t="s">
        <v>19</v>
      </c>
      <c r="B536" s="5" t="s">
        <v>12</v>
      </c>
      <c r="C536" s="5" t="s">
        <v>54</v>
      </c>
      <c r="D536" s="4" t="s">
        <v>1121</v>
      </c>
      <c r="E536" s="15" t="n">
        <v>30800</v>
      </c>
      <c r="F536" s="4" t="s">
        <v>1122</v>
      </c>
      <c r="G536" s="16" t="s">
        <v>57</v>
      </c>
      <c r="H536" s="17"/>
      <c r="I536" s="17"/>
    </row>
    <row r="537" customFormat="false" ht="15" hidden="false" customHeight="false" outlineLevel="0" collapsed="false">
      <c r="A537" s="4" t="s">
        <v>19</v>
      </c>
      <c r="B537" s="5" t="s">
        <v>12</v>
      </c>
      <c r="C537" s="5" t="s">
        <v>54</v>
      </c>
      <c r="D537" s="4" t="s">
        <v>1123</v>
      </c>
      <c r="E537" s="15" t="n">
        <v>23100</v>
      </c>
      <c r="F537" s="4" t="s">
        <v>1124</v>
      </c>
      <c r="G537" s="16" t="s">
        <v>57</v>
      </c>
      <c r="H537" s="17"/>
      <c r="I537" s="17"/>
    </row>
    <row r="538" customFormat="false" ht="15" hidden="false" customHeight="false" outlineLevel="0" collapsed="false">
      <c r="A538" s="4" t="s">
        <v>19</v>
      </c>
      <c r="B538" s="5" t="s">
        <v>12</v>
      </c>
      <c r="C538" s="5" t="s">
        <v>54</v>
      </c>
      <c r="D538" s="4" t="s">
        <v>1125</v>
      </c>
      <c r="E538" s="15" t="n">
        <v>31900</v>
      </c>
      <c r="F538" s="4" t="s">
        <v>1126</v>
      </c>
      <c r="G538" s="16" t="s">
        <v>57</v>
      </c>
      <c r="H538" s="17"/>
      <c r="I538" s="17"/>
    </row>
    <row r="539" customFormat="false" ht="15" hidden="false" customHeight="false" outlineLevel="0" collapsed="false">
      <c r="A539" s="4" t="s">
        <v>19</v>
      </c>
      <c r="B539" s="5" t="s">
        <v>12</v>
      </c>
      <c r="C539" s="5" t="s">
        <v>54</v>
      </c>
      <c r="D539" s="4" t="s">
        <v>1127</v>
      </c>
      <c r="E539" s="15" t="n">
        <v>31900</v>
      </c>
      <c r="F539" s="4" t="s">
        <v>1128</v>
      </c>
      <c r="G539" s="16" t="s">
        <v>57</v>
      </c>
      <c r="H539" s="17"/>
      <c r="I539" s="17"/>
    </row>
    <row r="540" customFormat="false" ht="15" hidden="false" customHeight="false" outlineLevel="0" collapsed="false">
      <c r="A540" s="4" t="s">
        <v>19</v>
      </c>
      <c r="B540" s="5" t="s">
        <v>12</v>
      </c>
      <c r="C540" s="5" t="s">
        <v>54</v>
      </c>
      <c r="D540" s="4" t="s">
        <v>1129</v>
      </c>
      <c r="E540" s="15" t="n">
        <v>26400</v>
      </c>
      <c r="F540" s="4" t="s">
        <v>1130</v>
      </c>
      <c r="G540" s="16" t="s">
        <v>57</v>
      </c>
      <c r="H540" s="17"/>
      <c r="I540" s="17"/>
    </row>
    <row r="541" customFormat="false" ht="15" hidden="false" customHeight="false" outlineLevel="0" collapsed="false">
      <c r="A541" s="4" t="s">
        <v>19</v>
      </c>
      <c r="B541" s="5" t="s">
        <v>12</v>
      </c>
      <c r="C541" s="5" t="s">
        <v>54</v>
      </c>
      <c r="D541" s="4" t="s">
        <v>1131</v>
      </c>
      <c r="E541" s="15" t="n">
        <v>26400</v>
      </c>
      <c r="F541" s="4" t="s">
        <v>1132</v>
      </c>
      <c r="G541" s="16" t="s">
        <v>57</v>
      </c>
      <c r="H541" s="17"/>
      <c r="I541" s="17"/>
    </row>
    <row r="542" customFormat="false" ht="15" hidden="false" customHeight="false" outlineLevel="0" collapsed="false">
      <c r="A542" s="4" t="s">
        <v>19</v>
      </c>
      <c r="B542" s="5" t="s">
        <v>12</v>
      </c>
      <c r="C542" s="5" t="s">
        <v>54</v>
      </c>
      <c r="D542" s="4" t="s">
        <v>1133</v>
      </c>
      <c r="E542" s="15" t="n">
        <v>28600</v>
      </c>
      <c r="F542" s="4" t="s">
        <v>1134</v>
      </c>
      <c r="G542" s="16" t="s">
        <v>57</v>
      </c>
      <c r="H542" s="17"/>
      <c r="I542" s="17"/>
    </row>
    <row r="543" customFormat="false" ht="15" hidden="false" customHeight="false" outlineLevel="0" collapsed="false">
      <c r="A543" s="4" t="s">
        <v>19</v>
      </c>
      <c r="B543" s="5" t="s">
        <v>12</v>
      </c>
      <c r="C543" s="5" t="s">
        <v>54</v>
      </c>
      <c r="D543" s="4" t="s">
        <v>1135</v>
      </c>
      <c r="E543" s="15" t="n">
        <v>19800</v>
      </c>
      <c r="F543" s="4" t="s">
        <v>1136</v>
      </c>
      <c r="G543" s="16" t="s">
        <v>57</v>
      </c>
      <c r="H543" s="17"/>
      <c r="I543" s="17"/>
    </row>
    <row r="544" customFormat="false" ht="15" hidden="false" customHeight="false" outlineLevel="0" collapsed="false">
      <c r="A544" s="4" t="s">
        <v>19</v>
      </c>
      <c r="B544" s="5" t="s">
        <v>12</v>
      </c>
      <c r="C544" s="5" t="s">
        <v>54</v>
      </c>
      <c r="D544" s="4" t="s">
        <v>1137</v>
      </c>
      <c r="E544" s="15" t="n">
        <v>19800</v>
      </c>
      <c r="F544" s="4" t="s">
        <v>1138</v>
      </c>
      <c r="G544" s="16" t="s">
        <v>57</v>
      </c>
      <c r="H544" s="17"/>
      <c r="I544" s="17"/>
    </row>
    <row r="545" customFormat="false" ht="15" hidden="false" customHeight="false" outlineLevel="0" collapsed="false">
      <c r="A545" s="4" t="s">
        <v>19</v>
      </c>
      <c r="B545" s="5" t="s">
        <v>12</v>
      </c>
      <c r="C545" s="5" t="s">
        <v>54</v>
      </c>
      <c r="D545" s="4" t="s">
        <v>1139</v>
      </c>
      <c r="E545" s="15" t="n">
        <v>19800</v>
      </c>
      <c r="F545" s="4" t="s">
        <v>1140</v>
      </c>
      <c r="G545" s="16" t="s">
        <v>57</v>
      </c>
      <c r="H545" s="17"/>
      <c r="I545" s="17"/>
    </row>
    <row r="546" customFormat="false" ht="15" hidden="false" customHeight="false" outlineLevel="0" collapsed="false">
      <c r="A546" s="4" t="s">
        <v>19</v>
      </c>
      <c r="B546" s="5" t="s">
        <v>12</v>
      </c>
      <c r="C546" s="5" t="s">
        <v>54</v>
      </c>
      <c r="D546" s="4" t="s">
        <v>1141</v>
      </c>
      <c r="E546" s="15" t="n">
        <v>19800</v>
      </c>
      <c r="F546" s="4" t="s">
        <v>1142</v>
      </c>
      <c r="G546" s="16" t="s">
        <v>57</v>
      </c>
      <c r="H546" s="17"/>
      <c r="I546" s="17"/>
    </row>
    <row r="547" customFormat="false" ht="15" hidden="false" customHeight="false" outlineLevel="0" collapsed="false">
      <c r="A547" s="4" t="s">
        <v>19</v>
      </c>
      <c r="B547" s="5" t="s">
        <v>12</v>
      </c>
      <c r="C547" s="5" t="s">
        <v>54</v>
      </c>
      <c r="D547" s="4" t="s">
        <v>1143</v>
      </c>
      <c r="E547" s="15" t="n">
        <v>23100</v>
      </c>
      <c r="F547" s="4" t="s">
        <v>1144</v>
      </c>
      <c r="G547" s="16" t="s">
        <v>57</v>
      </c>
      <c r="H547" s="17"/>
      <c r="I547" s="17"/>
    </row>
    <row r="548" customFormat="false" ht="15" hidden="false" customHeight="false" outlineLevel="0" collapsed="false">
      <c r="A548" s="4" t="s">
        <v>19</v>
      </c>
      <c r="B548" s="5" t="s">
        <v>12</v>
      </c>
      <c r="C548" s="5" t="s">
        <v>54</v>
      </c>
      <c r="D548" s="4" t="s">
        <v>1145</v>
      </c>
      <c r="E548" s="15" t="n">
        <v>25300</v>
      </c>
      <c r="F548" s="4" t="s">
        <v>1146</v>
      </c>
      <c r="G548" s="16" t="s">
        <v>57</v>
      </c>
      <c r="H548" s="17"/>
      <c r="I548" s="17"/>
    </row>
    <row r="549" customFormat="false" ht="15" hidden="false" customHeight="false" outlineLevel="0" collapsed="false">
      <c r="A549" s="4" t="s">
        <v>19</v>
      </c>
      <c r="B549" s="5" t="s">
        <v>12</v>
      </c>
      <c r="C549" s="5" t="s">
        <v>54</v>
      </c>
      <c r="D549" s="4" t="s">
        <v>1147</v>
      </c>
      <c r="E549" s="15" t="n">
        <v>27500</v>
      </c>
      <c r="F549" s="4" t="s">
        <v>1148</v>
      </c>
      <c r="G549" s="16" t="s">
        <v>57</v>
      </c>
      <c r="H549" s="17"/>
      <c r="I549" s="17"/>
    </row>
    <row r="550" customFormat="false" ht="15" hidden="false" customHeight="false" outlineLevel="0" collapsed="false">
      <c r="A550" s="4" t="s">
        <v>19</v>
      </c>
      <c r="B550" s="5" t="s">
        <v>12</v>
      </c>
      <c r="C550" s="5" t="s">
        <v>54</v>
      </c>
      <c r="D550" s="4" t="s">
        <v>1149</v>
      </c>
      <c r="E550" s="15" t="n">
        <v>14300</v>
      </c>
      <c r="F550" s="4" t="s">
        <v>1150</v>
      </c>
      <c r="G550" s="16" t="s">
        <v>57</v>
      </c>
      <c r="H550" s="17"/>
      <c r="I550" s="17"/>
    </row>
    <row r="551" customFormat="false" ht="15" hidden="false" customHeight="false" outlineLevel="0" collapsed="false">
      <c r="A551" s="4" t="s">
        <v>19</v>
      </c>
      <c r="B551" s="5" t="s">
        <v>12</v>
      </c>
      <c r="C551" s="5" t="s">
        <v>54</v>
      </c>
      <c r="D551" s="4" t="s">
        <v>1151</v>
      </c>
      <c r="E551" s="15" t="n">
        <v>14300</v>
      </c>
      <c r="F551" s="4" t="s">
        <v>1152</v>
      </c>
      <c r="G551" s="16" t="s">
        <v>57</v>
      </c>
      <c r="H551" s="17"/>
      <c r="I551" s="17"/>
    </row>
    <row r="552" customFormat="false" ht="15" hidden="false" customHeight="false" outlineLevel="0" collapsed="false">
      <c r="A552" s="4" t="s">
        <v>19</v>
      </c>
      <c r="B552" s="5" t="s">
        <v>12</v>
      </c>
      <c r="C552" s="5" t="s">
        <v>54</v>
      </c>
      <c r="D552" s="4" t="s">
        <v>1153</v>
      </c>
      <c r="E552" s="15" t="n">
        <v>13200</v>
      </c>
      <c r="F552" s="4" t="s">
        <v>1154</v>
      </c>
      <c r="G552" s="16" t="s">
        <v>57</v>
      </c>
      <c r="H552" s="17"/>
      <c r="I552" s="17"/>
    </row>
    <row r="553" customFormat="false" ht="15" hidden="false" customHeight="false" outlineLevel="0" collapsed="false">
      <c r="A553" s="4" t="s">
        <v>19</v>
      </c>
      <c r="B553" s="5" t="s">
        <v>12</v>
      </c>
      <c r="C553" s="5" t="s">
        <v>54</v>
      </c>
      <c r="D553" s="4" t="s">
        <v>1155</v>
      </c>
      <c r="E553" s="15" t="n">
        <v>13200</v>
      </c>
      <c r="F553" s="4" t="s">
        <v>1156</v>
      </c>
      <c r="G553" s="16" t="s">
        <v>57</v>
      </c>
      <c r="H553" s="17"/>
      <c r="I553" s="17"/>
    </row>
    <row r="554" customFormat="false" ht="15" hidden="false" customHeight="false" outlineLevel="0" collapsed="false">
      <c r="A554" s="4" t="s">
        <v>19</v>
      </c>
      <c r="B554" s="5" t="s">
        <v>12</v>
      </c>
      <c r="C554" s="5" t="s">
        <v>54</v>
      </c>
      <c r="D554" s="4" t="s">
        <v>1157</v>
      </c>
      <c r="E554" s="15" t="n">
        <v>39600</v>
      </c>
      <c r="F554" s="4" t="s">
        <v>1158</v>
      </c>
      <c r="G554" s="16" t="s">
        <v>57</v>
      </c>
      <c r="H554" s="17"/>
      <c r="I554" s="17"/>
    </row>
    <row r="555" customFormat="false" ht="15" hidden="false" customHeight="false" outlineLevel="0" collapsed="false">
      <c r="A555" s="4" t="s">
        <v>19</v>
      </c>
      <c r="B555" s="5" t="s">
        <v>12</v>
      </c>
      <c r="C555" s="5" t="s">
        <v>54</v>
      </c>
      <c r="D555" s="4" t="s">
        <v>1159</v>
      </c>
      <c r="E555" s="15" t="n">
        <v>39600</v>
      </c>
      <c r="F555" s="4" t="s">
        <v>1160</v>
      </c>
      <c r="G555" s="16" t="s">
        <v>57</v>
      </c>
      <c r="H555" s="17"/>
      <c r="I555" s="17"/>
    </row>
    <row r="556" customFormat="false" ht="15" hidden="false" customHeight="false" outlineLevel="0" collapsed="false">
      <c r="A556" s="4" t="s">
        <v>19</v>
      </c>
      <c r="B556" s="5" t="s">
        <v>12</v>
      </c>
      <c r="C556" s="5" t="s">
        <v>54</v>
      </c>
      <c r="D556" s="4" t="s">
        <v>985</v>
      </c>
      <c r="E556" s="15" t="n">
        <v>28600</v>
      </c>
      <c r="F556" s="4" t="s">
        <v>986</v>
      </c>
      <c r="G556" s="16" t="s">
        <v>57</v>
      </c>
      <c r="H556" s="17"/>
      <c r="I556" s="17"/>
    </row>
    <row r="557" customFormat="false" ht="15" hidden="false" customHeight="false" outlineLevel="0" collapsed="false">
      <c r="A557" s="4" t="s">
        <v>19</v>
      </c>
      <c r="B557" s="5" t="s">
        <v>12</v>
      </c>
      <c r="C557" s="5" t="s">
        <v>54</v>
      </c>
      <c r="D557" s="4" t="s">
        <v>987</v>
      </c>
      <c r="E557" s="15" t="n">
        <v>28600</v>
      </c>
      <c r="F557" s="4" t="s">
        <v>988</v>
      </c>
      <c r="G557" s="16" t="s">
        <v>57</v>
      </c>
      <c r="H557" s="17"/>
      <c r="I557" s="17"/>
    </row>
    <row r="558" customFormat="false" ht="15" hidden="false" customHeight="false" outlineLevel="0" collapsed="false">
      <c r="A558" s="4" t="s">
        <v>19</v>
      </c>
      <c r="B558" s="5" t="s">
        <v>12</v>
      </c>
      <c r="C558" s="5" t="s">
        <v>54</v>
      </c>
      <c r="D558" s="4" t="s">
        <v>989</v>
      </c>
      <c r="E558" s="15" t="n">
        <v>38500</v>
      </c>
      <c r="F558" s="4" t="s">
        <v>990</v>
      </c>
      <c r="G558" s="16" t="s">
        <v>57</v>
      </c>
      <c r="H558" s="17"/>
      <c r="I558" s="17"/>
    </row>
    <row r="559" customFormat="false" ht="15" hidden="false" customHeight="false" outlineLevel="0" collapsed="false">
      <c r="A559" s="4" t="s">
        <v>19</v>
      </c>
      <c r="B559" s="5" t="s">
        <v>13</v>
      </c>
      <c r="C559" s="5" t="s">
        <v>243</v>
      </c>
      <c r="D559" s="4" t="s">
        <v>1161</v>
      </c>
      <c r="E559" s="15" t="n">
        <v>17600</v>
      </c>
      <c r="F559" s="4" t="s">
        <v>1162</v>
      </c>
      <c r="G559" s="16" t="s">
        <v>57</v>
      </c>
      <c r="H559" s="17"/>
      <c r="I559" s="17"/>
    </row>
    <row r="560" customFormat="false" ht="15" hidden="false" customHeight="false" outlineLevel="0" collapsed="false">
      <c r="A560" s="4" t="s">
        <v>19</v>
      </c>
      <c r="B560" s="5" t="s">
        <v>13</v>
      </c>
      <c r="C560" s="5" t="s">
        <v>243</v>
      </c>
      <c r="D560" s="4" t="s">
        <v>1163</v>
      </c>
      <c r="E560" s="15" t="n">
        <v>17600</v>
      </c>
      <c r="F560" s="4" t="s">
        <v>1164</v>
      </c>
      <c r="G560" s="16" t="s">
        <v>57</v>
      </c>
      <c r="H560" s="17"/>
      <c r="I560" s="17"/>
    </row>
    <row r="561" customFormat="false" ht="15" hidden="false" customHeight="false" outlineLevel="0" collapsed="false">
      <c r="A561" s="4" t="s">
        <v>19</v>
      </c>
      <c r="B561" s="5" t="s">
        <v>13</v>
      </c>
      <c r="C561" s="5" t="s">
        <v>243</v>
      </c>
      <c r="D561" s="4" t="s">
        <v>1165</v>
      </c>
      <c r="E561" s="15" t="n">
        <v>20900</v>
      </c>
      <c r="F561" s="4" t="s">
        <v>1166</v>
      </c>
      <c r="G561" s="16" t="s">
        <v>57</v>
      </c>
      <c r="H561" s="17"/>
      <c r="I561" s="17"/>
    </row>
    <row r="562" customFormat="false" ht="15" hidden="false" customHeight="false" outlineLevel="0" collapsed="false">
      <c r="A562" s="4" t="s">
        <v>19</v>
      </c>
      <c r="B562" s="5" t="s">
        <v>13</v>
      </c>
      <c r="C562" s="5" t="s">
        <v>243</v>
      </c>
      <c r="D562" s="4" t="s">
        <v>1167</v>
      </c>
      <c r="E562" s="15" t="n">
        <v>17600</v>
      </c>
      <c r="F562" s="4" t="s">
        <v>1168</v>
      </c>
      <c r="G562" s="16" t="s">
        <v>57</v>
      </c>
      <c r="H562" s="17"/>
      <c r="I562" s="17"/>
    </row>
    <row r="563" customFormat="false" ht="15" hidden="false" customHeight="false" outlineLevel="0" collapsed="false">
      <c r="A563" s="4" t="s">
        <v>19</v>
      </c>
      <c r="B563" s="5" t="s">
        <v>13</v>
      </c>
      <c r="C563" s="5" t="s">
        <v>243</v>
      </c>
      <c r="D563" s="4" t="s">
        <v>1169</v>
      </c>
      <c r="E563" s="15" t="n">
        <v>11000</v>
      </c>
      <c r="F563" s="4" t="s">
        <v>1170</v>
      </c>
      <c r="G563" s="16" t="s">
        <v>57</v>
      </c>
      <c r="H563" s="17"/>
      <c r="I563" s="17"/>
    </row>
    <row r="564" customFormat="false" ht="15" hidden="false" customHeight="false" outlineLevel="0" collapsed="false">
      <c r="A564" s="4" t="s">
        <v>19</v>
      </c>
      <c r="B564" s="5" t="s">
        <v>13</v>
      </c>
      <c r="C564" s="5" t="s">
        <v>243</v>
      </c>
      <c r="D564" s="4" t="s">
        <v>1171</v>
      </c>
      <c r="E564" s="15" t="n">
        <v>11000</v>
      </c>
      <c r="F564" s="4" t="s">
        <v>1172</v>
      </c>
      <c r="G564" s="16" t="s">
        <v>57</v>
      </c>
      <c r="H564" s="17"/>
      <c r="I564" s="17"/>
    </row>
    <row r="565" customFormat="false" ht="15" hidden="false" customHeight="false" outlineLevel="0" collapsed="false">
      <c r="A565" s="4" t="s">
        <v>20</v>
      </c>
      <c r="B565" s="5" t="s">
        <v>12</v>
      </c>
      <c r="C565" s="5" t="s">
        <v>54</v>
      </c>
      <c r="D565" s="4" t="s">
        <v>1173</v>
      </c>
      <c r="E565" s="15" t="n">
        <v>41800</v>
      </c>
      <c r="F565" s="4" t="s">
        <v>1174</v>
      </c>
      <c r="G565" s="16" t="s">
        <v>57</v>
      </c>
      <c r="H565" s="17"/>
      <c r="I565" s="17"/>
    </row>
    <row r="566" customFormat="false" ht="15" hidden="false" customHeight="false" outlineLevel="0" collapsed="false">
      <c r="A566" s="4" t="s">
        <v>20</v>
      </c>
      <c r="B566" s="5" t="s">
        <v>12</v>
      </c>
      <c r="C566" s="5" t="s">
        <v>54</v>
      </c>
      <c r="D566" s="4" t="s">
        <v>1175</v>
      </c>
      <c r="E566" s="15" t="n">
        <v>41800</v>
      </c>
      <c r="F566" s="4" t="s">
        <v>1176</v>
      </c>
      <c r="G566" s="16" t="s">
        <v>57</v>
      </c>
      <c r="H566" s="17"/>
      <c r="I566" s="17"/>
    </row>
    <row r="567" customFormat="false" ht="15" hidden="false" customHeight="false" outlineLevel="0" collapsed="false">
      <c r="A567" s="4" t="s">
        <v>20</v>
      </c>
      <c r="B567" s="5" t="s">
        <v>12</v>
      </c>
      <c r="C567" s="5" t="s">
        <v>54</v>
      </c>
      <c r="D567" s="4" t="s">
        <v>1177</v>
      </c>
      <c r="E567" s="15" t="n">
        <v>95700</v>
      </c>
      <c r="F567" s="4" t="s">
        <v>1178</v>
      </c>
      <c r="G567" s="16" t="s">
        <v>57</v>
      </c>
      <c r="H567" s="17"/>
      <c r="I567" s="17"/>
    </row>
    <row r="568" customFormat="false" ht="15" hidden="false" customHeight="false" outlineLevel="0" collapsed="false">
      <c r="A568" s="4" t="s">
        <v>20</v>
      </c>
      <c r="B568" s="5" t="s">
        <v>12</v>
      </c>
      <c r="C568" s="5" t="s">
        <v>54</v>
      </c>
      <c r="D568" s="4" t="s">
        <v>1179</v>
      </c>
      <c r="E568" s="15" t="n">
        <v>95700</v>
      </c>
      <c r="F568" s="4" t="s">
        <v>1180</v>
      </c>
      <c r="G568" s="16" t="s">
        <v>57</v>
      </c>
      <c r="H568" s="17"/>
      <c r="I568" s="17"/>
    </row>
    <row r="569" customFormat="false" ht="15" hidden="false" customHeight="false" outlineLevel="0" collapsed="false">
      <c r="A569" s="4" t="s">
        <v>20</v>
      </c>
      <c r="B569" s="5" t="s">
        <v>12</v>
      </c>
      <c r="C569" s="5" t="s">
        <v>54</v>
      </c>
      <c r="D569" s="4" t="s">
        <v>1181</v>
      </c>
      <c r="E569" s="15" t="n">
        <v>101200</v>
      </c>
      <c r="F569" s="4" t="s">
        <v>1182</v>
      </c>
      <c r="G569" s="16" t="s">
        <v>57</v>
      </c>
      <c r="H569" s="17"/>
      <c r="I569" s="17"/>
    </row>
    <row r="570" customFormat="false" ht="15" hidden="false" customHeight="false" outlineLevel="0" collapsed="false">
      <c r="A570" s="4" t="s">
        <v>20</v>
      </c>
      <c r="B570" s="5" t="s">
        <v>12</v>
      </c>
      <c r="C570" s="5" t="s">
        <v>54</v>
      </c>
      <c r="D570" s="4" t="s">
        <v>1183</v>
      </c>
      <c r="E570" s="15" t="n">
        <v>101200</v>
      </c>
      <c r="F570" s="4" t="s">
        <v>1184</v>
      </c>
      <c r="G570" s="16" t="s">
        <v>57</v>
      </c>
      <c r="H570" s="17"/>
      <c r="I570" s="17"/>
    </row>
    <row r="571" customFormat="false" ht="15" hidden="false" customHeight="false" outlineLevel="0" collapsed="false">
      <c r="A571" s="4" t="s">
        <v>20</v>
      </c>
      <c r="B571" s="5" t="s">
        <v>12</v>
      </c>
      <c r="C571" s="5" t="s">
        <v>54</v>
      </c>
      <c r="D571" s="4" t="s">
        <v>1185</v>
      </c>
      <c r="E571" s="15" t="n">
        <v>94600</v>
      </c>
      <c r="F571" s="4" t="s">
        <v>1186</v>
      </c>
      <c r="G571" s="16" t="s">
        <v>57</v>
      </c>
      <c r="H571" s="17"/>
      <c r="I571" s="17"/>
    </row>
    <row r="572" customFormat="false" ht="15" hidden="false" customHeight="false" outlineLevel="0" collapsed="false">
      <c r="A572" s="4" t="s">
        <v>20</v>
      </c>
      <c r="B572" s="5" t="s">
        <v>12</v>
      </c>
      <c r="C572" s="5" t="s">
        <v>54</v>
      </c>
      <c r="D572" s="4" t="s">
        <v>1187</v>
      </c>
      <c r="E572" s="15" t="n">
        <v>94600</v>
      </c>
      <c r="F572" s="4" t="s">
        <v>1188</v>
      </c>
      <c r="G572" s="16" t="s">
        <v>57</v>
      </c>
      <c r="H572" s="17"/>
      <c r="I572" s="17"/>
    </row>
    <row r="573" customFormat="false" ht="15" hidden="false" customHeight="false" outlineLevel="0" collapsed="false">
      <c r="A573" s="4" t="s">
        <v>20</v>
      </c>
      <c r="B573" s="5" t="s">
        <v>12</v>
      </c>
      <c r="C573" s="5" t="s">
        <v>54</v>
      </c>
      <c r="D573" s="4" t="s">
        <v>1189</v>
      </c>
      <c r="E573" s="15" t="n">
        <v>137500</v>
      </c>
      <c r="F573" s="4" t="s">
        <v>1190</v>
      </c>
      <c r="G573" s="16" t="s">
        <v>57</v>
      </c>
      <c r="H573" s="17"/>
      <c r="I573" s="17"/>
    </row>
    <row r="574" customFormat="false" ht="15" hidden="false" customHeight="false" outlineLevel="0" collapsed="false">
      <c r="A574" s="4" t="s">
        <v>20</v>
      </c>
      <c r="B574" s="5" t="s">
        <v>12</v>
      </c>
      <c r="C574" s="5" t="s">
        <v>54</v>
      </c>
      <c r="D574" s="4" t="s">
        <v>1191</v>
      </c>
      <c r="E574" s="15" t="n">
        <v>137500</v>
      </c>
      <c r="F574" s="4" t="s">
        <v>1192</v>
      </c>
      <c r="G574" s="16" t="s">
        <v>57</v>
      </c>
      <c r="H574" s="17"/>
      <c r="I574" s="17"/>
    </row>
    <row r="575" customFormat="false" ht="15" hidden="false" customHeight="false" outlineLevel="0" collapsed="false">
      <c r="A575" s="4" t="s">
        <v>20</v>
      </c>
      <c r="B575" s="5" t="s">
        <v>12</v>
      </c>
      <c r="C575" s="5" t="s">
        <v>54</v>
      </c>
      <c r="D575" s="4" t="s">
        <v>1193</v>
      </c>
      <c r="E575" s="15" t="n">
        <v>126500</v>
      </c>
      <c r="F575" s="4" t="s">
        <v>1194</v>
      </c>
      <c r="G575" s="16" t="s">
        <v>57</v>
      </c>
      <c r="H575" s="17"/>
      <c r="I575" s="17"/>
    </row>
    <row r="576" customFormat="false" ht="15" hidden="false" customHeight="false" outlineLevel="0" collapsed="false">
      <c r="A576" s="4" t="s">
        <v>20</v>
      </c>
      <c r="B576" s="5" t="s">
        <v>12</v>
      </c>
      <c r="C576" s="5" t="s">
        <v>54</v>
      </c>
      <c r="D576" s="4" t="s">
        <v>1195</v>
      </c>
      <c r="E576" s="15" t="n">
        <v>126500</v>
      </c>
      <c r="F576" s="4" t="s">
        <v>1196</v>
      </c>
      <c r="G576" s="16" t="s">
        <v>57</v>
      </c>
      <c r="H576" s="17"/>
      <c r="I576" s="17"/>
    </row>
    <row r="577" customFormat="false" ht="15" hidden="false" customHeight="false" outlineLevel="0" collapsed="false">
      <c r="A577" s="4" t="s">
        <v>20</v>
      </c>
      <c r="B577" s="5" t="s">
        <v>12</v>
      </c>
      <c r="C577" s="5" t="s">
        <v>54</v>
      </c>
      <c r="D577" s="4" t="s">
        <v>1197</v>
      </c>
      <c r="E577" s="15" t="n">
        <v>159500</v>
      </c>
      <c r="F577" s="4" t="s">
        <v>1198</v>
      </c>
      <c r="G577" s="16" t="s">
        <v>57</v>
      </c>
      <c r="H577" s="17"/>
      <c r="I577" s="17"/>
    </row>
    <row r="578" customFormat="false" ht="15" hidden="false" customHeight="false" outlineLevel="0" collapsed="false">
      <c r="A578" s="4" t="s">
        <v>20</v>
      </c>
      <c r="B578" s="5" t="s">
        <v>12</v>
      </c>
      <c r="C578" s="5" t="s">
        <v>54</v>
      </c>
      <c r="D578" s="4" t="s">
        <v>1199</v>
      </c>
      <c r="E578" s="15" t="n">
        <v>105600</v>
      </c>
      <c r="F578" s="4" t="s">
        <v>1200</v>
      </c>
      <c r="G578" s="16" t="s">
        <v>57</v>
      </c>
      <c r="H578" s="17"/>
      <c r="I578" s="17"/>
    </row>
    <row r="579" customFormat="false" ht="15" hidden="false" customHeight="false" outlineLevel="0" collapsed="false">
      <c r="A579" s="4" t="s">
        <v>20</v>
      </c>
      <c r="B579" s="5" t="s">
        <v>12</v>
      </c>
      <c r="C579" s="5" t="s">
        <v>54</v>
      </c>
      <c r="D579" s="4" t="s">
        <v>1201</v>
      </c>
      <c r="E579" s="15" t="n">
        <v>95700</v>
      </c>
      <c r="F579" s="4" t="s">
        <v>1202</v>
      </c>
      <c r="G579" s="16" t="s">
        <v>57</v>
      </c>
      <c r="H579" s="17"/>
      <c r="I579" s="17"/>
    </row>
    <row r="580" customFormat="false" ht="15" hidden="false" customHeight="false" outlineLevel="0" collapsed="false">
      <c r="A580" s="4" t="s">
        <v>20</v>
      </c>
      <c r="B580" s="5" t="s">
        <v>12</v>
      </c>
      <c r="C580" s="5" t="s">
        <v>54</v>
      </c>
      <c r="D580" s="4" t="s">
        <v>1203</v>
      </c>
      <c r="E580" s="15" t="n">
        <v>95700</v>
      </c>
      <c r="F580" s="4" t="s">
        <v>1204</v>
      </c>
      <c r="G580" s="16" t="s">
        <v>57</v>
      </c>
      <c r="H580" s="17"/>
      <c r="I580" s="17"/>
    </row>
    <row r="581" customFormat="false" ht="15" hidden="false" customHeight="false" outlineLevel="0" collapsed="false">
      <c r="A581" s="4" t="s">
        <v>20</v>
      </c>
      <c r="B581" s="5" t="s">
        <v>12</v>
      </c>
      <c r="C581" s="5" t="s">
        <v>54</v>
      </c>
      <c r="D581" s="4" t="s">
        <v>1205</v>
      </c>
      <c r="E581" s="15" t="n">
        <v>23100</v>
      </c>
      <c r="F581" s="4" t="s">
        <v>1206</v>
      </c>
      <c r="G581" s="16" t="s">
        <v>57</v>
      </c>
      <c r="H581" s="17"/>
      <c r="I581" s="17"/>
    </row>
    <row r="582" customFormat="false" ht="15" hidden="false" customHeight="false" outlineLevel="0" collapsed="false">
      <c r="A582" s="4" t="s">
        <v>20</v>
      </c>
      <c r="B582" s="5" t="s">
        <v>12</v>
      </c>
      <c r="C582" s="5" t="s">
        <v>54</v>
      </c>
      <c r="D582" s="4" t="s">
        <v>1207</v>
      </c>
      <c r="E582" s="15" t="n">
        <v>58300</v>
      </c>
      <c r="F582" s="4" t="s">
        <v>1208</v>
      </c>
      <c r="G582" s="16" t="s">
        <v>57</v>
      </c>
      <c r="H582" s="17"/>
      <c r="I582" s="17"/>
    </row>
    <row r="583" customFormat="false" ht="15" hidden="false" customHeight="false" outlineLevel="0" collapsed="false">
      <c r="A583" s="4" t="s">
        <v>20</v>
      </c>
      <c r="B583" s="5" t="s">
        <v>12</v>
      </c>
      <c r="C583" s="5" t="s">
        <v>54</v>
      </c>
      <c r="D583" s="4" t="s">
        <v>1209</v>
      </c>
      <c r="E583" s="15" t="n">
        <v>58300</v>
      </c>
      <c r="F583" s="4" t="s">
        <v>1210</v>
      </c>
      <c r="G583" s="16" t="s">
        <v>57</v>
      </c>
      <c r="H583" s="17"/>
      <c r="I583" s="17"/>
    </row>
    <row r="584" customFormat="false" ht="15" hidden="false" customHeight="false" outlineLevel="0" collapsed="false">
      <c r="A584" s="4" t="s">
        <v>20</v>
      </c>
      <c r="B584" s="5" t="s">
        <v>12</v>
      </c>
      <c r="C584" s="5" t="s">
        <v>54</v>
      </c>
      <c r="D584" s="4" t="s">
        <v>1211</v>
      </c>
      <c r="E584" s="15" t="n">
        <v>7040</v>
      </c>
      <c r="F584" s="4" t="s">
        <v>1212</v>
      </c>
      <c r="G584" s="16" t="s">
        <v>57</v>
      </c>
      <c r="H584" s="17"/>
      <c r="I584" s="17"/>
    </row>
    <row r="585" customFormat="false" ht="15" hidden="false" customHeight="false" outlineLevel="0" collapsed="false">
      <c r="A585" s="4" t="s">
        <v>20</v>
      </c>
      <c r="B585" s="5" t="s">
        <v>12</v>
      </c>
      <c r="C585" s="5" t="s">
        <v>54</v>
      </c>
      <c r="D585" s="4" t="s">
        <v>1213</v>
      </c>
      <c r="E585" s="15" t="n">
        <v>31900</v>
      </c>
      <c r="F585" s="4" t="s">
        <v>1214</v>
      </c>
      <c r="G585" s="16" t="s">
        <v>57</v>
      </c>
      <c r="H585" s="17"/>
      <c r="I585" s="17"/>
    </row>
    <row r="586" customFormat="false" ht="15" hidden="false" customHeight="false" outlineLevel="0" collapsed="false">
      <c r="A586" s="4" t="s">
        <v>20</v>
      </c>
      <c r="B586" s="5" t="s">
        <v>12</v>
      </c>
      <c r="C586" s="5" t="s">
        <v>54</v>
      </c>
      <c r="D586" s="4" t="s">
        <v>1215</v>
      </c>
      <c r="E586" s="15" t="n">
        <v>31900</v>
      </c>
      <c r="F586" s="4" t="s">
        <v>1216</v>
      </c>
      <c r="G586" s="16" t="s">
        <v>57</v>
      </c>
      <c r="H586" s="17"/>
      <c r="I586" s="17"/>
    </row>
    <row r="587" customFormat="false" ht="15" hidden="false" customHeight="false" outlineLevel="0" collapsed="false">
      <c r="A587" s="4" t="s">
        <v>21</v>
      </c>
      <c r="B587" s="5" t="s">
        <v>12</v>
      </c>
      <c r="C587" s="5" t="s">
        <v>54</v>
      </c>
      <c r="D587" s="4" t="s">
        <v>1217</v>
      </c>
      <c r="E587" s="15" t="n">
        <v>110000</v>
      </c>
      <c r="F587" s="4" t="s">
        <v>1218</v>
      </c>
      <c r="G587" s="16" t="s">
        <v>57</v>
      </c>
      <c r="H587" s="17"/>
      <c r="I587" s="17"/>
    </row>
    <row r="588" customFormat="false" ht="15" hidden="false" customHeight="false" outlineLevel="0" collapsed="false">
      <c r="A588" s="4" t="s">
        <v>21</v>
      </c>
      <c r="B588" s="5" t="s">
        <v>12</v>
      </c>
      <c r="C588" s="5" t="s">
        <v>54</v>
      </c>
      <c r="D588" s="4" t="s">
        <v>1219</v>
      </c>
      <c r="E588" s="15" t="n">
        <v>110000</v>
      </c>
      <c r="F588" s="4" t="s">
        <v>1220</v>
      </c>
      <c r="G588" s="16" t="s">
        <v>57</v>
      </c>
      <c r="H588" s="17"/>
      <c r="I588" s="17"/>
    </row>
    <row r="589" customFormat="false" ht="15" hidden="false" customHeight="false" outlineLevel="0" collapsed="false">
      <c r="A589" s="4" t="s">
        <v>21</v>
      </c>
      <c r="B589" s="5" t="s">
        <v>12</v>
      </c>
      <c r="C589" s="5" t="s">
        <v>54</v>
      </c>
      <c r="D589" s="4" t="s">
        <v>1221</v>
      </c>
      <c r="E589" s="15" t="n">
        <v>93500</v>
      </c>
      <c r="F589" s="4" t="s">
        <v>1222</v>
      </c>
      <c r="G589" s="16" t="s">
        <v>57</v>
      </c>
      <c r="H589" s="17"/>
      <c r="I589" s="17"/>
    </row>
    <row r="590" customFormat="false" ht="15" hidden="false" customHeight="false" outlineLevel="0" collapsed="false">
      <c r="A590" s="4" t="s">
        <v>21</v>
      </c>
      <c r="B590" s="5" t="s">
        <v>12</v>
      </c>
      <c r="C590" s="5" t="s">
        <v>54</v>
      </c>
      <c r="D590" s="4" t="s">
        <v>1223</v>
      </c>
      <c r="E590" s="15" t="n">
        <v>93500</v>
      </c>
      <c r="F590" s="4" t="s">
        <v>1224</v>
      </c>
      <c r="G590" s="16" t="s">
        <v>57</v>
      </c>
      <c r="H590" s="17"/>
      <c r="I590" s="17"/>
    </row>
    <row r="591" customFormat="false" ht="15" hidden="false" customHeight="false" outlineLevel="0" collapsed="false">
      <c r="A591" s="4" t="s">
        <v>21</v>
      </c>
      <c r="B591" s="5" t="s">
        <v>12</v>
      </c>
      <c r="C591" s="5" t="s">
        <v>54</v>
      </c>
      <c r="D591" s="4" t="s">
        <v>1225</v>
      </c>
      <c r="E591" s="15" t="n">
        <v>176000</v>
      </c>
      <c r="F591" s="4" t="s">
        <v>1226</v>
      </c>
      <c r="G591" s="16" t="s">
        <v>57</v>
      </c>
      <c r="H591" s="17"/>
      <c r="I591" s="17"/>
    </row>
    <row r="592" customFormat="false" ht="15" hidden="false" customHeight="false" outlineLevel="0" collapsed="false">
      <c r="A592" s="4" t="s">
        <v>21</v>
      </c>
      <c r="B592" s="5" t="s">
        <v>12</v>
      </c>
      <c r="C592" s="5" t="s">
        <v>54</v>
      </c>
      <c r="D592" s="4" t="s">
        <v>1011</v>
      </c>
      <c r="E592" s="15" t="n">
        <v>148500</v>
      </c>
      <c r="F592" s="4" t="s">
        <v>1012</v>
      </c>
      <c r="G592" s="16" t="s">
        <v>57</v>
      </c>
      <c r="H592" s="17"/>
      <c r="I592" s="17"/>
    </row>
    <row r="593" customFormat="false" ht="15" hidden="false" customHeight="false" outlineLevel="0" collapsed="false">
      <c r="A593" s="4" t="s">
        <v>21</v>
      </c>
      <c r="B593" s="5" t="s">
        <v>12</v>
      </c>
      <c r="C593" s="5" t="s">
        <v>54</v>
      </c>
      <c r="D593" s="4" t="s">
        <v>1227</v>
      </c>
      <c r="E593" s="15" t="n">
        <v>51700</v>
      </c>
      <c r="F593" s="4" t="s">
        <v>1228</v>
      </c>
      <c r="G593" s="16" t="s">
        <v>57</v>
      </c>
      <c r="H593" s="17"/>
      <c r="I593" s="17"/>
    </row>
    <row r="594" customFormat="false" ht="15" hidden="false" customHeight="false" outlineLevel="0" collapsed="false">
      <c r="A594" s="4" t="s">
        <v>21</v>
      </c>
      <c r="B594" s="5" t="s">
        <v>12</v>
      </c>
      <c r="C594" s="5" t="s">
        <v>54</v>
      </c>
      <c r="D594" s="4" t="s">
        <v>1229</v>
      </c>
      <c r="E594" s="15" t="n">
        <v>48400</v>
      </c>
      <c r="F594" s="4" t="s">
        <v>1230</v>
      </c>
      <c r="G594" s="16" t="s">
        <v>57</v>
      </c>
      <c r="H594" s="17"/>
      <c r="I594" s="17"/>
    </row>
    <row r="595" customFormat="false" ht="15" hidden="false" customHeight="false" outlineLevel="0" collapsed="false">
      <c r="A595" s="4" t="s">
        <v>21</v>
      </c>
      <c r="B595" s="5" t="s">
        <v>12</v>
      </c>
      <c r="C595" s="5" t="s">
        <v>54</v>
      </c>
      <c r="D595" s="4" t="s">
        <v>1231</v>
      </c>
      <c r="E595" s="15" t="n">
        <v>48400</v>
      </c>
      <c r="F595" s="4" t="s">
        <v>1232</v>
      </c>
      <c r="G595" s="16" t="s">
        <v>57</v>
      </c>
      <c r="H595" s="17"/>
      <c r="I595" s="17"/>
    </row>
    <row r="596" customFormat="false" ht="15" hidden="false" customHeight="false" outlineLevel="0" collapsed="false">
      <c r="A596" s="4" t="s">
        <v>21</v>
      </c>
      <c r="B596" s="5" t="s">
        <v>12</v>
      </c>
      <c r="C596" s="5" t="s">
        <v>54</v>
      </c>
      <c r="D596" s="4" t="s">
        <v>1233</v>
      </c>
      <c r="E596" s="15" t="n">
        <v>35200</v>
      </c>
      <c r="F596" s="4" t="s">
        <v>1234</v>
      </c>
      <c r="G596" s="16" t="s">
        <v>57</v>
      </c>
      <c r="H596" s="17"/>
      <c r="I596" s="17"/>
    </row>
    <row r="597" customFormat="false" ht="15" hidden="false" customHeight="false" outlineLevel="0" collapsed="false">
      <c r="A597" s="4" t="s">
        <v>21</v>
      </c>
      <c r="B597" s="5" t="s">
        <v>12</v>
      </c>
      <c r="C597" s="5" t="s">
        <v>54</v>
      </c>
      <c r="D597" s="4" t="s">
        <v>1235</v>
      </c>
      <c r="E597" s="15" t="n">
        <v>35200</v>
      </c>
      <c r="F597" s="4" t="s">
        <v>1236</v>
      </c>
      <c r="G597" s="16" t="s">
        <v>57</v>
      </c>
      <c r="H597" s="17"/>
      <c r="I597" s="17"/>
    </row>
    <row r="598" customFormat="false" ht="15" hidden="false" customHeight="false" outlineLevel="0" collapsed="false">
      <c r="A598" s="4" t="s">
        <v>21</v>
      </c>
      <c r="B598" s="5" t="s">
        <v>12</v>
      </c>
      <c r="C598" s="5" t="s">
        <v>54</v>
      </c>
      <c r="D598" s="4" t="s">
        <v>1237</v>
      </c>
      <c r="E598" s="15" t="n">
        <v>33000</v>
      </c>
      <c r="F598" s="4" t="s">
        <v>1238</v>
      </c>
      <c r="G598" s="16" t="s">
        <v>57</v>
      </c>
      <c r="H598" s="17"/>
      <c r="I598" s="17"/>
    </row>
    <row r="599" customFormat="false" ht="15" hidden="false" customHeight="false" outlineLevel="0" collapsed="false">
      <c r="A599" s="4" t="s">
        <v>21</v>
      </c>
      <c r="B599" s="5" t="s">
        <v>12</v>
      </c>
      <c r="C599" s="5" t="s">
        <v>54</v>
      </c>
      <c r="D599" s="4" t="s">
        <v>1239</v>
      </c>
      <c r="E599" s="15" t="n">
        <v>33000</v>
      </c>
      <c r="F599" s="4" t="s">
        <v>1240</v>
      </c>
      <c r="G599" s="16" t="s">
        <v>57</v>
      </c>
      <c r="H599" s="17"/>
      <c r="I599" s="17"/>
    </row>
    <row r="600" customFormat="false" ht="15" hidden="false" customHeight="false" outlineLevel="0" collapsed="false">
      <c r="A600" s="4" t="s">
        <v>21</v>
      </c>
      <c r="B600" s="5" t="s">
        <v>12</v>
      </c>
      <c r="C600" s="5" t="s">
        <v>54</v>
      </c>
      <c r="D600" s="4" t="s">
        <v>1241</v>
      </c>
      <c r="E600" s="15" t="n">
        <v>27500</v>
      </c>
      <c r="F600" s="4" t="s">
        <v>1242</v>
      </c>
      <c r="G600" s="16" t="s">
        <v>57</v>
      </c>
      <c r="H600" s="17"/>
      <c r="I600" s="17"/>
    </row>
    <row r="601" customFormat="false" ht="15" hidden="false" customHeight="false" outlineLevel="0" collapsed="false">
      <c r="A601" s="4" t="s">
        <v>21</v>
      </c>
      <c r="B601" s="5" t="s">
        <v>12</v>
      </c>
      <c r="C601" s="5" t="s">
        <v>54</v>
      </c>
      <c r="D601" s="4" t="s">
        <v>1243</v>
      </c>
      <c r="E601" s="15" t="n">
        <v>27500</v>
      </c>
      <c r="F601" s="4" t="s">
        <v>1244</v>
      </c>
      <c r="G601" s="16" t="s">
        <v>57</v>
      </c>
      <c r="H601" s="17"/>
      <c r="I601" s="17"/>
    </row>
    <row r="602" customFormat="false" ht="15" hidden="false" customHeight="false" outlineLevel="0" collapsed="false">
      <c r="A602" s="4" t="s">
        <v>21</v>
      </c>
      <c r="B602" s="5" t="s">
        <v>12</v>
      </c>
      <c r="C602" s="5" t="s">
        <v>54</v>
      </c>
      <c r="D602" s="4" t="s">
        <v>1245</v>
      </c>
      <c r="E602" s="15" t="n">
        <v>36300</v>
      </c>
      <c r="F602" s="4" t="s">
        <v>1246</v>
      </c>
      <c r="G602" s="16" t="s">
        <v>57</v>
      </c>
      <c r="H602" s="17"/>
      <c r="I602" s="17"/>
    </row>
    <row r="603" customFormat="false" ht="15" hidden="false" customHeight="false" outlineLevel="0" collapsed="false">
      <c r="A603" s="4" t="s">
        <v>21</v>
      </c>
      <c r="B603" s="5" t="s">
        <v>12</v>
      </c>
      <c r="C603" s="5" t="s">
        <v>54</v>
      </c>
      <c r="D603" s="4" t="s">
        <v>1247</v>
      </c>
      <c r="E603" s="15" t="n">
        <v>36300</v>
      </c>
      <c r="F603" s="4" t="s">
        <v>1248</v>
      </c>
      <c r="G603" s="16" t="s">
        <v>57</v>
      </c>
      <c r="H603" s="17"/>
      <c r="I603" s="17"/>
    </row>
    <row r="604" customFormat="false" ht="15" hidden="false" customHeight="false" outlineLevel="0" collapsed="false">
      <c r="A604" s="4" t="s">
        <v>21</v>
      </c>
      <c r="B604" s="5" t="s">
        <v>12</v>
      </c>
      <c r="C604" s="5" t="s">
        <v>54</v>
      </c>
      <c r="D604" s="4" t="s">
        <v>1249</v>
      </c>
      <c r="E604" s="15" t="n">
        <v>34100</v>
      </c>
      <c r="F604" s="4" t="s">
        <v>1250</v>
      </c>
      <c r="G604" s="16" t="s">
        <v>57</v>
      </c>
      <c r="H604" s="17"/>
      <c r="I604" s="17"/>
    </row>
    <row r="605" customFormat="false" ht="15" hidden="false" customHeight="false" outlineLevel="0" collapsed="false">
      <c r="A605" s="4" t="s">
        <v>21</v>
      </c>
      <c r="B605" s="5" t="s">
        <v>12</v>
      </c>
      <c r="C605" s="5" t="s">
        <v>54</v>
      </c>
      <c r="D605" s="4" t="s">
        <v>1251</v>
      </c>
      <c r="E605" s="15" t="n">
        <v>34100</v>
      </c>
      <c r="F605" s="4" t="s">
        <v>1252</v>
      </c>
      <c r="G605" s="16" t="s">
        <v>57</v>
      </c>
      <c r="H605" s="17"/>
      <c r="I605" s="17"/>
    </row>
    <row r="606" customFormat="false" ht="15" hidden="false" customHeight="false" outlineLevel="0" collapsed="false">
      <c r="A606" s="4" t="s">
        <v>22</v>
      </c>
      <c r="B606" s="5" t="s">
        <v>12</v>
      </c>
      <c r="C606" s="5" t="s">
        <v>54</v>
      </c>
      <c r="D606" s="4" t="s">
        <v>1253</v>
      </c>
      <c r="E606" s="15" t="n">
        <v>14300</v>
      </c>
      <c r="F606" s="4" t="s">
        <v>1254</v>
      </c>
      <c r="G606" s="16" t="s">
        <v>57</v>
      </c>
      <c r="H606" s="17"/>
      <c r="I606" s="17"/>
    </row>
    <row r="607" customFormat="false" ht="15" hidden="false" customHeight="false" outlineLevel="0" collapsed="false">
      <c r="A607" s="4" t="s">
        <v>22</v>
      </c>
      <c r="B607" s="5" t="s">
        <v>12</v>
      </c>
      <c r="C607" s="5" t="s">
        <v>54</v>
      </c>
      <c r="D607" s="4" t="s">
        <v>1255</v>
      </c>
      <c r="E607" s="15" t="n">
        <v>15400</v>
      </c>
      <c r="F607" s="4" t="s">
        <v>1256</v>
      </c>
      <c r="G607" s="16" t="s">
        <v>57</v>
      </c>
      <c r="H607" s="17"/>
      <c r="I607" s="17"/>
    </row>
    <row r="608" customFormat="false" ht="15" hidden="false" customHeight="false" outlineLevel="0" collapsed="false">
      <c r="A608" s="4" t="s">
        <v>22</v>
      </c>
      <c r="B608" s="5" t="s">
        <v>12</v>
      </c>
      <c r="C608" s="5" t="s">
        <v>54</v>
      </c>
      <c r="D608" s="4" t="s">
        <v>1257</v>
      </c>
      <c r="E608" s="15" t="n">
        <v>15400</v>
      </c>
      <c r="F608" s="4" t="s">
        <v>1258</v>
      </c>
      <c r="G608" s="16" t="s">
        <v>57</v>
      </c>
      <c r="H608" s="17"/>
      <c r="I608" s="17"/>
    </row>
    <row r="609" customFormat="false" ht="15" hidden="false" customHeight="false" outlineLevel="0" collapsed="false">
      <c r="A609" s="4" t="s">
        <v>22</v>
      </c>
      <c r="B609" s="5" t="s">
        <v>12</v>
      </c>
      <c r="C609" s="5" t="s">
        <v>54</v>
      </c>
      <c r="D609" s="4" t="s">
        <v>1259</v>
      </c>
      <c r="E609" s="15" t="n">
        <v>15400</v>
      </c>
      <c r="F609" s="4" t="s">
        <v>1260</v>
      </c>
      <c r="G609" s="16" t="s">
        <v>57</v>
      </c>
      <c r="H609" s="17"/>
      <c r="I609" s="17"/>
    </row>
    <row r="610" customFormat="false" ht="15" hidden="false" customHeight="false" outlineLevel="0" collapsed="false">
      <c r="A610" s="4" t="s">
        <v>22</v>
      </c>
      <c r="B610" s="5" t="s">
        <v>12</v>
      </c>
      <c r="C610" s="5" t="s">
        <v>54</v>
      </c>
      <c r="D610" s="4" t="s">
        <v>1261</v>
      </c>
      <c r="E610" s="15" t="n">
        <v>22000</v>
      </c>
      <c r="F610" s="4" t="s">
        <v>1262</v>
      </c>
      <c r="G610" s="16" t="s">
        <v>57</v>
      </c>
      <c r="H610" s="17"/>
      <c r="I610" s="17"/>
    </row>
    <row r="611" customFormat="false" ht="15" hidden="false" customHeight="false" outlineLevel="0" collapsed="false">
      <c r="A611" s="4" t="s">
        <v>22</v>
      </c>
      <c r="B611" s="5" t="s">
        <v>12</v>
      </c>
      <c r="C611" s="5" t="s">
        <v>54</v>
      </c>
      <c r="D611" s="4" t="s">
        <v>1263</v>
      </c>
      <c r="E611" s="15" t="n">
        <v>22000</v>
      </c>
      <c r="F611" s="4" t="s">
        <v>1264</v>
      </c>
      <c r="G611" s="16" t="s">
        <v>57</v>
      </c>
      <c r="H611" s="17"/>
      <c r="I611" s="17"/>
    </row>
    <row r="612" customFormat="false" ht="15" hidden="false" customHeight="false" outlineLevel="0" collapsed="false">
      <c r="A612" s="4" t="s">
        <v>22</v>
      </c>
      <c r="B612" s="5" t="s">
        <v>12</v>
      </c>
      <c r="C612" s="5" t="s">
        <v>54</v>
      </c>
      <c r="D612" s="4" t="s">
        <v>1265</v>
      </c>
      <c r="E612" s="15" t="n">
        <v>17600</v>
      </c>
      <c r="F612" s="4" t="s">
        <v>1266</v>
      </c>
      <c r="G612" s="16" t="s">
        <v>57</v>
      </c>
      <c r="H612" s="17"/>
      <c r="I612" s="17"/>
    </row>
    <row r="613" customFormat="false" ht="15" hidden="false" customHeight="false" outlineLevel="0" collapsed="false">
      <c r="A613" s="4" t="s">
        <v>22</v>
      </c>
      <c r="B613" s="5" t="s">
        <v>12</v>
      </c>
      <c r="C613" s="5" t="s">
        <v>54</v>
      </c>
      <c r="D613" s="4" t="s">
        <v>1267</v>
      </c>
      <c r="E613" s="15" t="n">
        <v>11000</v>
      </c>
      <c r="F613" s="4" t="s">
        <v>1268</v>
      </c>
      <c r="G613" s="16" t="s">
        <v>57</v>
      </c>
      <c r="H613" s="17"/>
      <c r="I613" s="17"/>
    </row>
    <row r="614" customFormat="false" ht="15" hidden="false" customHeight="false" outlineLevel="0" collapsed="false">
      <c r="A614" s="4" t="s">
        <v>22</v>
      </c>
      <c r="B614" s="5" t="s">
        <v>12</v>
      </c>
      <c r="C614" s="5" t="s">
        <v>54</v>
      </c>
      <c r="D614" s="4" t="s">
        <v>1269</v>
      </c>
      <c r="E614" s="15" t="n">
        <v>11000</v>
      </c>
      <c r="F614" s="4" t="s">
        <v>1270</v>
      </c>
      <c r="G614" s="16" t="s">
        <v>57</v>
      </c>
      <c r="H614" s="17"/>
      <c r="I614" s="17"/>
    </row>
    <row r="615" customFormat="false" ht="15" hidden="false" customHeight="false" outlineLevel="0" collapsed="false">
      <c r="A615" s="4" t="s">
        <v>22</v>
      </c>
      <c r="B615" s="5" t="s">
        <v>12</v>
      </c>
      <c r="C615" s="5" t="s">
        <v>54</v>
      </c>
      <c r="D615" s="4" t="s">
        <v>1271</v>
      </c>
      <c r="E615" s="15" t="n">
        <v>24200</v>
      </c>
      <c r="F615" s="4" t="s">
        <v>1272</v>
      </c>
      <c r="G615" s="16" t="s">
        <v>57</v>
      </c>
      <c r="H615" s="17"/>
      <c r="I615" s="17"/>
    </row>
    <row r="616" customFormat="false" ht="15" hidden="false" customHeight="false" outlineLevel="0" collapsed="false">
      <c r="A616" s="4" t="s">
        <v>22</v>
      </c>
      <c r="B616" s="5" t="s">
        <v>12</v>
      </c>
      <c r="C616" s="5" t="s">
        <v>54</v>
      </c>
      <c r="D616" s="4" t="s">
        <v>1273</v>
      </c>
      <c r="E616" s="15" t="n">
        <v>24200</v>
      </c>
      <c r="F616" s="4" t="s">
        <v>1274</v>
      </c>
      <c r="G616" s="16" t="s">
        <v>57</v>
      </c>
      <c r="H616" s="17"/>
      <c r="I616" s="17"/>
    </row>
    <row r="617" customFormat="false" ht="15" hidden="false" customHeight="false" outlineLevel="0" collapsed="false">
      <c r="A617" s="4" t="s">
        <v>22</v>
      </c>
      <c r="B617" s="5" t="s">
        <v>12</v>
      </c>
      <c r="C617" s="5" t="s">
        <v>54</v>
      </c>
      <c r="D617" s="4" t="s">
        <v>1275</v>
      </c>
      <c r="E617" s="15" t="n">
        <v>24200</v>
      </c>
      <c r="F617" s="4" t="s">
        <v>1276</v>
      </c>
      <c r="G617" s="16" t="s">
        <v>57</v>
      </c>
      <c r="H617" s="17"/>
      <c r="I617" s="17"/>
    </row>
    <row r="618" customFormat="false" ht="15" hidden="false" customHeight="false" outlineLevel="0" collapsed="false">
      <c r="A618" s="4" t="s">
        <v>22</v>
      </c>
      <c r="B618" s="5" t="s">
        <v>12</v>
      </c>
      <c r="C618" s="5" t="s">
        <v>54</v>
      </c>
      <c r="D618" s="4" t="s">
        <v>1277</v>
      </c>
      <c r="E618" s="15" t="n">
        <v>22000</v>
      </c>
      <c r="F618" s="4" t="s">
        <v>1278</v>
      </c>
      <c r="G618" s="16" t="s">
        <v>57</v>
      </c>
      <c r="H618" s="17"/>
      <c r="I618" s="17"/>
    </row>
    <row r="619" customFormat="false" ht="15" hidden="false" customHeight="false" outlineLevel="0" collapsed="false">
      <c r="A619" s="4" t="s">
        <v>22</v>
      </c>
      <c r="B619" s="5" t="s">
        <v>12</v>
      </c>
      <c r="C619" s="5" t="s">
        <v>54</v>
      </c>
      <c r="D619" s="4" t="s">
        <v>1279</v>
      </c>
      <c r="E619" s="15" t="n">
        <v>22000</v>
      </c>
      <c r="F619" s="4" t="s">
        <v>1280</v>
      </c>
      <c r="G619" s="16" t="s">
        <v>57</v>
      </c>
      <c r="H619" s="17"/>
      <c r="I619" s="17"/>
    </row>
    <row r="620" customFormat="false" ht="15" hidden="false" customHeight="false" outlineLevel="0" collapsed="false">
      <c r="A620" s="4" t="s">
        <v>22</v>
      </c>
      <c r="B620" s="5" t="s">
        <v>12</v>
      </c>
      <c r="C620" s="5" t="s">
        <v>54</v>
      </c>
      <c r="D620" s="4" t="s">
        <v>1281</v>
      </c>
      <c r="E620" s="15" t="n">
        <v>11000</v>
      </c>
      <c r="F620" s="4" t="s">
        <v>1282</v>
      </c>
      <c r="G620" s="16" t="s">
        <v>57</v>
      </c>
      <c r="H620" s="17"/>
      <c r="I620" s="17"/>
    </row>
    <row r="621" customFormat="false" ht="15" hidden="false" customHeight="false" outlineLevel="0" collapsed="false">
      <c r="A621" s="4" t="s">
        <v>22</v>
      </c>
      <c r="B621" s="5" t="s">
        <v>12</v>
      </c>
      <c r="C621" s="5" t="s">
        <v>54</v>
      </c>
      <c r="D621" s="4" t="s">
        <v>1283</v>
      </c>
      <c r="E621" s="15" t="n">
        <v>24200</v>
      </c>
      <c r="F621" s="4" t="s">
        <v>1284</v>
      </c>
      <c r="G621" s="16" t="s">
        <v>57</v>
      </c>
      <c r="H621" s="17"/>
      <c r="I621" s="17"/>
    </row>
    <row r="622" customFormat="false" ht="15" hidden="false" customHeight="false" outlineLevel="0" collapsed="false">
      <c r="A622" s="4" t="s">
        <v>22</v>
      </c>
      <c r="B622" s="5" t="s">
        <v>12</v>
      </c>
      <c r="C622" s="5" t="s">
        <v>54</v>
      </c>
      <c r="D622" s="4" t="s">
        <v>1285</v>
      </c>
      <c r="E622" s="15" t="n">
        <v>24200</v>
      </c>
      <c r="F622" s="4" t="s">
        <v>1286</v>
      </c>
      <c r="G622" s="16" t="s">
        <v>57</v>
      </c>
      <c r="H622" s="17"/>
      <c r="I622" s="17"/>
    </row>
    <row r="623" customFormat="false" ht="15" hidden="false" customHeight="false" outlineLevel="0" collapsed="false">
      <c r="A623" s="4" t="s">
        <v>22</v>
      </c>
      <c r="B623" s="5" t="s">
        <v>12</v>
      </c>
      <c r="C623" s="5" t="s">
        <v>54</v>
      </c>
      <c r="D623" s="4" t="s">
        <v>1287</v>
      </c>
      <c r="E623" s="15" t="n">
        <v>23100</v>
      </c>
      <c r="F623" s="4" t="s">
        <v>1288</v>
      </c>
      <c r="G623" s="16" t="s">
        <v>57</v>
      </c>
      <c r="H623" s="17"/>
      <c r="I623" s="17"/>
    </row>
    <row r="624" customFormat="false" ht="15" hidden="false" customHeight="false" outlineLevel="0" collapsed="false">
      <c r="A624" s="4" t="s">
        <v>22</v>
      </c>
      <c r="B624" s="5" t="s">
        <v>12</v>
      </c>
      <c r="C624" s="5" t="s">
        <v>54</v>
      </c>
      <c r="D624" s="4" t="s">
        <v>1289</v>
      </c>
      <c r="E624" s="15" t="n">
        <v>37400</v>
      </c>
      <c r="F624" s="4" t="s">
        <v>1290</v>
      </c>
      <c r="G624" s="16" t="s">
        <v>57</v>
      </c>
      <c r="H624" s="17"/>
      <c r="I624" s="17"/>
    </row>
    <row r="625" customFormat="false" ht="15" hidden="false" customHeight="false" outlineLevel="0" collapsed="false">
      <c r="A625" s="4" t="s">
        <v>22</v>
      </c>
      <c r="B625" s="5" t="s">
        <v>12</v>
      </c>
      <c r="C625" s="5" t="s">
        <v>54</v>
      </c>
      <c r="D625" s="4" t="s">
        <v>1291</v>
      </c>
      <c r="E625" s="15" t="n">
        <v>37400</v>
      </c>
      <c r="F625" s="4" t="s">
        <v>1292</v>
      </c>
      <c r="G625" s="16" t="s">
        <v>57</v>
      </c>
      <c r="H625" s="17"/>
      <c r="I625" s="17"/>
    </row>
    <row r="626" customFormat="false" ht="15" hidden="false" customHeight="false" outlineLevel="0" collapsed="false">
      <c r="A626" s="4" t="s">
        <v>22</v>
      </c>
      <c r="B626" s="5" t="s">
        <v>12</v>
      </c>
      <c r="C626" s="5" t="s">
        <v>54</v>
      </c>
      <c r="D626" s="4" t="s">
        <v>1293</v>
      </c>
      <c r="E626" s="15" t="n">
        <v>37400</v>
      </c>
      <c r="F626" s="4" t="s">
        <v>1294</v>
      </c>
      <c r="G626" s="16" t="s">
        <v>57</v>
      </c>
      <c r="H626" s="17"/>
      <c r="I626" s="17"/>
    </row>
    <row r="627" customFormat="false" ht="15" hidden="false" customHeight="false" outlineLevel="0" collapsed="false">
      <c r="A627" s="4" t="s">
        <v>22</v>
      </c>
      <c r="B627" s="5" t="s">
        <v>12</v>
      </c>
      <c r="C627" s="5" t="s">
        <v>54</v>
      </c>
      <c r="D627" s="4" t="s">
        <v>1295</v>
      </c>
      <c r="E627" s="15" t="n">
        <v>20900</v>
      </c>
      <c r="F627" s="4" t="s">
        <v>1296</v>
      </c>
      <c r="G627" s="16" t="s">
        <v>57</v>
      </c>
      <c r="H627" s="17"/>
      <c r="I627" s="17"/>
    </row>
    <row r="628" customFormat="false" ht="15" hidden="false" customHeight="false" outlineLevel="0" collapsed="false">
      <c r="A628" s="4" t="s">
        <v>22</v>
      </c>
      <c r="B628" s="5" t="s">
        <v>12</v>
      </c>
      <c r="C628" s="5" t="s">
        <v>54</v>
      </c>
      <c r="D628" s="4" t="s">
        <v>1297</v>
      </c>
      <c r="E628" s="15" t="n">
        <v>20900</v>
      </c>
      <c r="F628" s="4" t="s">
        <v>1298</v>
      </c>
      <c r="G628" s="16" t="s">
        <v>57</v>
      </c>
      <c r="H628" s="17"/>
      <c r="I628" s="17"/>
    </row>
    <row r="629" customFormat="false" ht="15" hidden="false" customHeight="false" outlineLevel="0" collapsed="false">
      <c r="A629" s="4" t="s">
        <v>22</v>
      </c>
      <c r="B629" s="5" t="s">
        <v>12</v>
      </c>
      <c r="C629" s="5" t="s">
        <v>54</v>
      </c>
      <c r="D629" s="4" t="s">
        <v>1299</v>
      </c>
      <c r="E629" s="15" t="n">
        <v>74800</v>
      </c>
      <c r="F629" s="4" t="s">
        <v>1300</v>
      </c>
      <c r="G629" s="16" t="s">
        <v>57</v>
      </c>
      <c r="H629" s="17"/>
      <c r="I629" s="17"/>
    </row>
    <row r="630" customFormat="false" ht="15" hidden="false" customHeight="false" outlineLevel="0" collapsed="false">
      <c r="A630" s="4" t="s">
        <v>22</v>
      </c>
      <c r="B630" s="5" t="s">
        <v>12</v>
      </c>
      <c r="C630" s="5" t="s">
        <v>54</v>
      </c>
      <c r="D630" s="4" t="s">
        <v>1301</v>
      </c>
      <c r="E630" s="15" t="n">
        <v>12100</v>
      </c>
      <c r="F630" s="4" t="s">
        <v>1302</v>
      </c>
      <c r="G630" s="16" t="s">
        <v>57</v>
      </c>
      <c r="H630" s="17"/>
      <c r="I630" s="17"/>
    </row>
    <row r="631" customFormat="false" ht="15" hidden="false" customHeight="false" outlineLevel="0" collapsed="false">
      <c r="A631" s="4" t="s">
        <v>22</v>
      </c>
      <c r="B631" s="5" t="s">
        <v>12</v>
      </c>
      <c r="C631" s="5" t="s">
        <v>54</v>
      </c>
      <c r="D631" s="4" t="s">
        <v>1303</v>
      </c>
      <c r="E631" s="15" t="n">
        <v>12100</v>
      </c>
      <c r="F631" s="4" t="s">
        <v>1304</v>
      </c>
      <c r="G631" s="16" t="s">
        <v>57</v>
      </c>
      <c r="H631" s="17"/>
      <c r="I631" s="17"/>
    </row>
    <row r="632" customFormat="false" ht="15" hidden="false" customHeight="false" outlineLevel="0" collapsed="false">
      <c r="A632" s="4" t="s">
        <v>22</v>
      </c>
      <c r="B632" s="5" t="s">
        <v>12</v>
      </c>
      <c r="C632" s="5" t="s">
        <v>54</v>
      </c>
      <c r="D632" s="4" t="s">
        <v>1305</v>
      </c>
      <c r="E632" s="15" t="n">
        <v>12100</v>
      </c>
      <c r="F632" s="4" t="s">
        <v>1306</v>
      </c>
      <c r="G632" s="16" t="s">
        <v>57</v>
      </c>
      <c r="H632" s="17"/>
      <c r="I632" s="17"/>
    </row>
    <row r="633" customFormat="false" ht="15" hidden="false" customHeight="false" outlineLevel="0" collapsed="false">
      <c r="A633" s="4" t="s">
        <v>22</v>
      </c>
      <c r="B633" s="5" t="s">
        <v>12</v>
      </c>
      <c r="C633" s="5" t="s">
        <v>54</v>
      </c>
      <c r="D633" s="4" t="s">
        <v>1307</v>
      </c>
      <c r="E633" s="15" t="n">
        <v>16500</v>
      </c>
      <c r="F633" s="4" t="s">
        <v>1308</v>
      </c>
      <c r="G633" s="16" t="s">
        <v>57</v>
      </c>
      <c r="H633" s="17"/>
      <c r="I633" s="17"/>
    </row>
    <row r="634" customFormat="false" ht="15" hidden="false" customHeight="false" outlineLevel="0" collapsed="false">
      <c r="A634" s="4" t="s">
        <v>22</v>
      </c>
      <c r="B634" s="5" t="s">
        <v>12</v>
      </c>
      <c r="C634" s="5" t="s">
        <v>54</v>
      </c>
      <c r="D634" s="4" t="s">
        <v>1309</v>
      </c>
      <c r="E634" s="15" t="n">
        <v>16500</v>
      </c>
      <c r="F634" s="4" t="s">
        <v>1310</v>
      </c>
      <c r="G634" s="16" t="s">
        <v>57</v>
      </c>
      <c r="H634" s="17"/>
      <c r="I634" s="17"/>
    </row>
    <row r="635" customFormat="false" ht="15" hidden="false" customHeight="false" outlineLevel="0" collapsed="false">
      <c r="A635" s="4" t="s">
        <v>22</v>
      </c>
      <c r="B635" s="5" t="s">
        <v>12</v>
      </c>
      <c r="C635" s="5" t="s">
        <v>54</v>
      </c>
      <c r="D635" s="4" t="s">
        <v>1311</v>
      </c>
      <c r="E635" s="15" t="n">
        <v>22000</v>
      </c>
      <c r="F635" s="4" t="s">
        <v>1312</v>
      </c>
      <c r="G635" s="16" t="s">
        <v>57</v>
      </c>
      <c r="H635" s="17"/>
      <c r="I635" s="17"/>
    </row>
    <row r="636" customFormat="false" ht="15" hidden="false" customHeight="false" outlineLevel="0" collapsed="false">
      <c r="A636" s="4" t="s">
        <v>22</v>
      </c>
      <c r="B636" s="5" t="s">
        <v>12</v>
      </c>
      <c r="C636" s="5" t="s">
        <v>54</v>
      </c>
      <c r="D636" s="4" t="s">
        <v>1313</v>
      </c>
      <c r="E636" s="15" t="n">
        <v>14300</v>
      </c>
      <c r="F636" s="4" t="s">
        <v>1314</v>
      </c>
      <c r="G636" s="16" t="s">
        <v>57</v>
      </c>
      <c r="H636" s="17"/>
      <c r="I636" s="17"/>
    </row>
    <row r="637" customFormat="false" ht="15" hidden="false" customHeight="false" outlineLevel="0" collapsed="false">
      <c r="A637" s="4" t="s">
        <v>22</v>
      </c>
      <c r="B637" s="5" t="s">
        <v>12</v>
      </c>
      <c r="C637" s="5" t="s">
        <v>54</v>
      </c>
      <c r="D637" s="4" t="s">
        <v>1315</v>
      </c>
      <c r="E637" s="15" t="n">
        <v>14300</v>
      </c>
      <c r="F637" s="4" t="s">
        <v>1316</v>
      </c>
      <c r="G637" s="16" t="s">
        <v>57</v>
      </c>
      <c r="H637" s="17"/>
      <c r="I637" s="17"/>
    </row>
    <row r="638" customFormat="false" ht="15" hidden="false" customHeight="false" outlineLevel="0" collapsed="false">
      <c r="A638" s="4" t="s">
        <v>22</v>
      </c>
      <c r="B638" s="5" t="s">
        <v>12</v>
      </c>
      <c r="C638" s="5" t="s">
        <v>54</v>
      </c>
      <c r="D638" s="4" t="s">
        <v>1317</v>
      </c>
      <c r="E638" s="15" t="n">
        <v>19800</v>
      </c>
      <c r="F638" s="4" t="s">
        <v>1318</v>
      </c>
      <c r="G638" s="16" t="s">
        <v>57</v>
      </c>
      <c r="H638" s="17"/>
      <c r="I638" s="17"/>
    </row>
    <row r="639" customFormat="false" ht="15" hidden="false" customHeight="false" outlineLevel="0" collapsed="false">
      <c r="A639" s="4" t="s">
        <v>22</v>
      </c>
      <c r="B639" s="5" t="s">
        <v>12</v>
      </c>
      <c r="C639" s="5" t="s">
        <v>54</v>
      </c>
      <c r="D639" s="4" t="s">
        <v>1319</v>
      </c>
      <c r="E639" s="15" t="n">
        <v>28600</v>
      </c>
      <c r="F639" s="4" t="s">
        <v>1320</v>
      </c>
      <c r="G639" s="16" t="s">
        <v>57</v>
      </c>
      <c r="H639" s="17"/>
      <c r="I639" s="17"/>
    </row>
    <row r="640" customFormat="false" ht="15" hidden="false" customHeight="false" outlineLevel="0" collapsed="false">
      <c r="A640" s="4" t="s">
        <v>22</v>
      </c>
      <c r="B640" s="5" t="s">
        <v>12</v>
      </c>
      <c r="C640" s="5" t="s">
        <v>54</v>
      </c>
      <c r="D640" s="4" t="s">
        <v>1321</v>
      </c>
      <c r="E640" s="15" t="n">
        <v>16500</v>
      </c>
      <c r="F640" s="4" t="s">
        <v>1322</v>
      </c>
      <c r="G640" s="16" t="s">
        <v>57</v>
      </c>
      <c r="H640" s="17"/>
      <c r="I640" s="17"/>
    </row>
    <row r="641" customFormat="false" ht="15" hidden="false" customHeight="false" outlineLevel="0" collapsed="false">
      <c r="A641" s="4" t="s">
        <v>22</v>
      </c>
      <c r="B641" s="5" t="s">
        <v>12</v>
      </c>
      <c r="C641" s="5" t="s">
        <v>54</v>
      </c>
      <c r="D641" s="4" t="s">
        <v>1323</v>
      </c>
      <c r="E641" s="15" t="n">
        <v>6600</v>
      </c>
      <c r="F641" s="4" t="s">
        <v>1324</v>
      </c>
      <c r="G641" s="16" t="s">
        <v>57</v>
      </c>
      <c r="H641" s="17"/>
      <c r="I641" s="17"/>
    </row>
    <row r="642" customFormat="false" ht="15" hidden="false" customHeight="false" outlineLevel="0" collapsed="false">
      <c r="A642" s="4" t="s">
        <v>22</v>
      </c>
      <c r="B642" s="5" t="s">
        <v>12</v>
      </c>
      <c r="C642" s="5" t="s">
        <v>54</v>
      </c>
      <c r="D642" s="4" t="s">
        <v>1325</v>
      </c>
      <c r="E642" s="15" t="n">
        <v>7700</v>
      </c>
      <c r="F642" s="4" t="s">
        <v>1326</v>
      </c>
      <c r="G642" s="16" t="s">
        <v>57</v>
      </c>
      <c r="H642" s="17"/>
      <c r="I642" s="17"/>
    </row>
    <row r="643" customFormat="false" ht="15" hidden="false" customHeight="false" outlineLevel="0" collapsed="false">
      <c r="A643" s="4" t="s">
        <v>22</v>
      </c>
      <c r="B643" s="5" t="s">
        <v>12</v>
      </c>
      <c r="C643" s="5" t="s">
        <v>54</v>
      </c>
      <c r="D643" s="4" t="s">
        <v>1327</v>
      </c>
      <c r="E643" s="15" t="n">
        <v>20900</v>
      </c>
      <c r="F643" s="4" t="s">
        <v>1328</v>
      </c>
      <c r="G643" s="16" t="s">
        <v>57</v>
      </c>
      <c r="H643" s="17"/>
      <c r="I643" s="17"/>
    </row>
    <row r="644" customFormat="false" ht="15" hidden="false" customHeight="false" outlineLevel="0" collapsed="false">
      <c r="A644" s="4" t="s">
        <v>22</v>
      </c>
      <c r="B644" s="5" t="s">
        <v>12</v>
      </c>
      <c r="C644" s="5" t="s">
        <v>54</v>
      </c>
      <c r="D644" s="4" t="s">
        <v>1329</v>
      </c>
      <c r="E644" s="15" t="n">
        <v>9900</v>
      </c>
      <c r="F644" s="4" t="s">
        <v>1330</v>
      </c>
      <c r="G644" s="16" t="s">
        <v>57</v>
      </c>
      <c r="H644" s="17"/>
      <c r="I644" s="17"/>
    </row>
    <row r="645" customFormat="false" ht="15" hidden="false" customHeight="false" outlineLevel="0" collapsed="false">
      <c r="A645" s="4" t="s">
        <v>22</v>
      </c>
      <c r="B645" s="5" t="s">
        <v>12</v>
      </c>
      <c r="C645" s="5" t="s">
        <v>54</v>
      </c>
      <c r="D645" s="4" t="s">
        <v>1331</v>
      </c>
      <c r="E645" s="15" t="n">
        <v>7700</v>
      </c>
      <c r="F645" s="4" t="s">
        <v>1332</v>
      </c>
      <c r="G645" s="16" t="s">
        <v>57</v>
      </c>
      <c r="H645" s="17"/>
      <c r="I645" s="17"/>
    </row>
    <row r="646" customFormat="false" ht="15" hidden="false" customHeight="false" outlineLevel="0" collapsed="false">
      <c r="A646" s="4" t="s">
        <v>22</v>
      </c>
      <c r="B646" s="5" t="s">
        <v>12</v>
      </c>
      <c r="C646" s="5" t="s">
        <v>54</v>
      </c>
      <c r="D646" s="4" t="s">
        <v>1333</v>
      </c>
      <c r="E646" s="15" t="n">
        <v>17600</v>
      </c>
      <c r="F646" s="4" t="s">
        <v>1334</v>
      </c>
      <c r="G646" s="16" t="s">
        <v>57</v>
      </c>
      <c r="H646" s="17"/>
      <c r="I646" s="17"/>
    </row>
    <row r="647" customFormat="false" ht="15" hidden="false" customHeight="false" outlineLevel="0" collapsed="false">
      <c r="A647" s="4" t="s">
        <v>22</v>
      </c>
      <c r="B647" s="5" t="s">
        <v>12</v>
      </c>
      <c r="C647" s="5" t="s">
        <v>54</v>
      </c>
      <c r="D647" s="4" t="s">
        <v>1335</v>
      </c>
      <c r="E647" s="15" t="n">
        <v>17600</v>
      </c>
      <c r="F647" s="4" t="s">
        <v>1336</v>
      </c>
      <c r="G647" s="16" t="s">
        <v>57</v>
      </c>
      <c r="H647" s="17"/>
      <c r="I647" s="17"/>
    </row>
    <row r="648" customFormat="false" ht="15" hidden="false" customHeight="false" outlineLevel="0" collapsed="false">
      <c r="A648" s="4" t="s">
        <v>22</v>
      </c>
      <c r="B648" s="5" t="s">
        <v>12</v>
      </c>
      <c r="C648" s="5" t="s">
        <v>54</v>
      </c>
      <c r="D648" s="4" t="s">
        <v>1337</v>
      </c>
      <c r="E648" s="15" t="n">
        <v>22000</v>
      </c>
      <c r="F648" s="4" t="s">
        <v>1338</v>
      </c>
      <c r="G648" s="16" t="s">
        <v>57</v>
      </c>
      <c r="H648" s="17"/>
      <c r="I648" s="17"/>
    </row>
    <row r="649" customFormat="false" ht="15" hidden="false" customHeight="false" outlineLevel="0" collapsed="false">
      <c r="A649" s="4" t="s">
        <v>22</v>
      </c>
      <c r="B649" s="5" t="s">
        <v>12</v>
      </c>
      <c r="C649" s="5" t="s">
        <v>54</v>
      </c>
      <c r="D649" s="4" t="s">
        <v>1339</v>
      </c>
      <c r="E649" s="15" t="n">
        <v>27500</v>
      </c>
      <c r="F649" s="4" t="s">
        <v>1340</v>
      </c>
      <c r="G649" s="16" t="s">
        <v>57</v>
      </c>
      <c r="H649" s="17"/>
      <c r="I649" s="17"/>
    </row>
    <row r="650" customFormat="false" ht="15" hidden="false" customHeight="false" outlineLevel="0" collapsed="false">
      <c r="A650" s="4" t="s">
        <v>22</v>
      </c>
      <c r="B650" s="5" t="s">
        <v>12</v>
      </c>
      <c r="C650" s="5" t="s">
        <v>54</v>
      </c>
      <c r="D650" s="4" t="s">
        <v>1341</v>
      </c>
      <c r="E650" s="15" t="n">
        <v>15400</v>
      </c>
      <c r="F650" s="4" t="s">
        <v>1342</v>
      </c>
      <c r="G650" s="16" t="s">
        <v>57</v>
      </c>
      <c r="H650" s="17"/>
      <c r="I650" s="17"/>
    </row>
    <row r="651" customFormat="false" ht="15" hidden="false" customHeight="false" outlineLevel="0" collapsed="false">
      <c r="A651" s="4" t="s">
        <v>22</v>
      </c>
      <c r="B651" s="5" t="s">
        <v>12</v>
      </c>
      <c r="C651" s="5" t="s">
        <v>54</v>
      </c>
      <c r="D651" s="4" t="s">
        <v>1343</v>
      </c>
      <c r="E651" s="15" t="n">
        <v>15400</v>
      </c>
      <c r="F651" s="4" t="s">
        <v>1344</v>
      </c>
      <c r="G651" s="16" t="s">
        <v>57</v>
      </c>
      <c r="H651" s="17"/>
      <c r="I651" s="17"/>
    </row>
    <row r="652" customFormat="false" ht="15" hidden="false" customHeight="false" outlineLevel="0" collapsed="false">
      <c r="A652" s="4" t="s">
        <v>22</v>
      </c>
      <c r="B652" s="5" t="s">
        <v>12</v>
      </c>
      <c r="C652" s="5" t="s">
        <v>54</v>
      </c>
      <c r="D652" s="4" t="s">
        <v>1345</v>
      </c>
      <c r="E652" s="15" t="n">
        <v>17600</v>
      </c>
      <c r="F652" s="4" t="s">
        <v>1346</v>
      </c>
      <c r="G652" s="16" t="s">
        <v>57</v>
      </c>
      <c r="H652" s="17"/>
      <c r="I652" s="17"/>
    </row>
    <row r="653" customFormat="false" ht="15" hidden="false" customHeight="false" outlineLevel="0" collapsed="false">
      <c r="A653" s="4" t="s">
        <v>22</v>
      </c>
      <c r="B653" s="5" t="s">
        <v>12</v>
      </c>
      <c r="C653" s="5" t="s">
        <v>54</v>
      </c>
      <c r="D653" s="4" t="s">
        <v>1347</v>
      </c>
      <c r="E653" s="15" t="n">
        <v>17600</v>
      </c>
      <c r="F653" s="4" t="s">
        <v>1348</v>
      </c>
      <c r="G653" s="16" t="s">
        <v>57</v>
      </c>
      <c r="H653" s="17"/>
      <c r="I653" s="17"/>
    </row>
    <row r="654" customFormat="false" ht="15" hidden="false" customHeight="false" outlineLevel="0" collapsed="false">
      <c r="A654" s="4" t="s">
        <v>22</v>
      </c>
      <c r="B654" s="5" t="s">
        <v>12</v>
      </c>
      <c r="C654" s="5" t="s">
        <v>54</v>
      </c>
      <c r="D654" s="4" t="s">
        <v>1349</v>
      </c>
      <c r="E654" s="15" t="n">
        <v>11000</v>
      </c>
      <c r="F654" s="4" t="s">
        <v>1350</v>
      </c>
      <c r="G654" s="16" t="s">
        <v>57</v>
      </c>
      <c r="H654" s="17"/>
      <c r="I654" s="17"/>
    </row>
    <row r="655" customFormat="false" ht="15" hidden="false" customHeight="false" outlineLevel="0" collapsed="false">
      <c r="A655" s="4" t="s">
        <v>22</v>
      </c>
      <c r="B655" s="5" t="s">
        <v>12</v>
      </c>
      <c r="C655" s="5" t="s">
        <v>54</v>
      </c>
      <c r="D655" s="4" t="s">
        <v>1351</v>
      </c>
      <c r="E655" s="15" t="n">
        <v>66000</v>
      </c>
      <c r="F655" s="4" t="s">
        <v>1352</v>
      </c>
      <c r="G655" s="16" t="s">
        <v>57</v>
      </c>
      <c r="H655" s="17"/>
      <c r="I655" s="17"/>
    </row>
    <row r="656" customFormat="false" ht="15" hidden="false" customHeight="false" outlineLevel="0" collapsed="false">
      <c r="A656" s="4" t="s">
        <v>22</v>
      </c>
      <c r="B656" s="5" t="s">
        <v>12</v>
      </c>
      <c r="C656" s="5" t="s">
        <v>54</v>
      </c>
      <c r="D656" s="4" t="s">
        <v>1353</v>
      </c>
      <c r="E656" s="15" t="n">
        <v>25300</v>
      </c>
      <c r="F656" s="4" t="s">
        <v>1354</v>
      </c>
      <c r="G656" s="16" t="s">
        <v>57</v>
      </c>
      <c r="H656" s="17"/>
      <c r="I656" s="17"/>
    </row>
    <row r="657" customFormat="false" ht="15" hidden="false" customHeight="false" outlineLevel="0" collapsed="false">
      <c r="A657" s="4" t="s">
        <v>22</v>
      </c>
      <c r="B657" s="5" t="s">
        <v>12</v>
      </c>
      <c r="C657" s="5" t="s">
        <v>54</v>
      </c>
      <c r="D657" s="4" t="s">
        <v>1355</v>
      </c>
      <c r="E657" s="15" t="n">
        <v>26400</v>
      </c>
      <c r="F657" s="4" t="s">
        <v>1356</v>
      </c>
      <c r="G657" s="16" t="s">
        <v>57</v>
      </c>
      <c r="H657" s="17"/>
      <c r="I657" s="17"/>
    </row>
    <row r="658" customFormat="false" ht="15" hidden="false" customHeight="false" outlineLevel="0" collapsed="false">
      <c r="A658" s="4" t="s">
        <v>22</v>
      </c>
      <c r="B658" s="5" t="s">
        <v>12</v>
      </c>
      <c r="C658" s="5" t="s">
        <v>54</v>
      </c>
      <c r="D658" s="4" t="s">
        <v>1355</v>
      </c>
      <c r="E658" s="15" t="n">
        <v>26400</v>
      </c>
      <c r="F658" s="4" t="s">
        <v>1357</v>
      </c>
      <c r="G658" s="16" t="s">
        <v>57</v>
      </c>
      <c r="H658" s="17"/>
      <c r="I658" s="17"/>
    </row>
    <row r="659" customFormat="false" ht="15" hidden="false" customHeight="false" outlineLevel="0" collapsed="false">
      <c r="A659" s="4" t="s">
        <v>22</v>
      </c>
      <c r="B659" s="5" t="s">
        <v>12</v>
      </c>
      <c r="C659" s="5" t="s">
        <v>54</v>
      </c>
      <c r="D659" s="4" t="s">
        <v>1358</v>
      </c>
      <c r="E659" s="15" t="n">
        <v>26400</v>
      </c>
      <c r="F659" s="4" t="s">
        <v>1359</v>
      </c>
      <c r="G659" s="16" t="s">
        <v>57</v>
      </c>
      <c r="H659" s="17"/>
      <c r="I659" s="17"/>
    </row>
    <row r="660" customFormat="false" ht="15" hidden="false" customHeight="false" outlineLevel="0" collapsed="false">
      <c r="A660" s="4" t="s">
        <v>22</v>
      </c>
      <c r="B660" s="5" t="s">
        <v>12</v>
      </c>
      <c r="C660" s="5" t="s">
        <v>54</v>
      </c>
      <c r="D660" s="4" t="s">
        <v>1360</v>
      </c>
      <c r="E660" s="15" t="n">
        <v>19800</v>
      </c>
      <c r="F660" s="4" t="s">
        <v>1361</v>
      </c>
      <c r="G660" s="16" t="s">
        <v>57</v>
      </c>
      <c r="H660" s="17"/>
      <c r="I660" s="17"/>
    </row>
    <row r="661" customFormat="false" ht="15" hidden="false" customHeight="false" outlineLevel="0" collapsed="false">
      <c r="A661" s="4" t="s">
        <v>22</v>
      </c>
      <c r="B661" s="5" t="s">
        <v>12</v>
      </c>
      <c r="C661" s="5" t="s">
        <v>54</v>
      </c>
      <c r="D661" s="4" t="s">
        <v>1362</v>
      </c>
      <c r="E661" s="15" t="n">
        <v>22000</v>
      </c>
      <c r="F661" s="4" t="s">
        <v>1363</v>
      </c>
      <c r="G661" s="16" t="s">
        <v>57</v>
      </c>
      <c r="H661" s="17"/>
      <c r="I661" s="17"/>
    </row>
    <row r="662" customFormat="false" ht="15" hidden="false" customHeight="false" outlineLevel="0" collapsed="false">
      <c r="A662" s="4" t="s">
        <v>22</v>
      </c>
      <c r="B662" s="5" t="s">
        <v>12</v>
      </c>
      <c r="C662" s="5" t="s">
        <v>54</v>
      </c>
      <c r="D662" s="4" t="s">
        <v>1364</v>
      </c>
      <c r="E662" s="15" t="n">
        <v>22000</v>
      </c>
      <c r="F662" s="4" t="s">
        <v>1365</v>
      </c>
      <c r="G662" s="16" t="s">
        <v>57</v>
      </c>
      <c r="H662" s="17"/>
      <c r="I662" s="17"/>
    </row>
    <row r="663" customFormat="false" ht="15" hidden="false" customHeight="false" outlineLevel="0" collapsed="false">
      <c r="A663" s="4" t="s">
        <v>22</v>
      </c>
      <c r="B663" s="5" t="s">
        <v>12</v>
      </c>
      <c r="C663" s="5" t="s">
        <v>54</v>
      </c>
      <c r="D663" s="4" t="s">
        <v>1366</v>
      </c>
      <c r="E663" s="15" t="n">
        <v>22000</v>
      </c>
      <c r="F663" s="4" t="s">
        <v>1367</v>
      </c>
      <c r="G663" s="16" t="s">
        <v>57</v>
      </c>
      <c r="H663" s="17"/>
      <c r="I663" s="17"/>
    </row>
    <row r="664" customFormat="false" ht="15" hidden="false" customHeight="false" outlineLevel="0" collapsed="false">
      <c r="A664" s="4" t="s">
        <v>22</v>
      </c>
      <c r="B664" s="5" t="s">
        <v>12</v>
      </c>
      <c r="C664" s="5" t="s">
        <v>54</v>
      </c>
      <c r="D664" s="4" t="s">
        <v>1368</v>
      </c>
      <c r="E664" s="15" t="n">
        <v>20900</v>
      </c>
      <c r="F664" s="4" t="s">
        <v>1369</v>
      </c>
      <c r="G664" s="16" t="s">
        <v>57</v>
      </c>
      <c r="H664" s="17"/>
      <c r="I664" s="17"/>
    </row>
    <row r="665" customFormat="false" ht="15" hidden="false" customHeight="false" outlineLevel="0" collapsed="false">
      <c r="A665" s="4" t="s">
        <v>22</v>
      </c>
      <c r="B665" s="5" t="s">
        <v>12</v>
      </c>
      <c r="C665" s="5" t="s">
        <v>54</v>
      </c>
      <c r="D665" s="4" t="s">
        <v>1370</v>
      </c>
      <c r="E665" s="15" t="n">
        <v>23100</v>
      </c>
      <c r="F665" s="4" t="s">
        <v>1371</v>
      </c>
      <c r="G665" s="16" t="s">
        <v>57</v>
      </c>
      <c r="H665" s="17"/>
      <c r="I665" s="17"/>
    </row>
    <row r="666" customFormat="false" ht="15" hidden="false" customHeight="false" outlineLevel="0" collapsed="false">
      <c r="A666" s="4" t="s">
        <v>22</v>
      </c>
      <c r="B666" s="5" t="s">
        <v>12</v>
      </c>
      <c r="C666" s="5" t="s">
        <v>54</v>
      </c>
      <c r="D666" s="4" t="s">
        <v>1372</v>
      </c>
      <c r="E666" s="15" t="n">
        <v>24200</v>
      </c>
      <c r="F666" s="4" t="s">
        <v>1373</v>
      </c>
      <c r="G666" s="16" t="s">
        <v>57</v>
      </c>
      <c r="H666" s="17"/>
      <c r="I666" s="17"/>
    </row>
    <row r="667" customFormat="false" ht="15" hidden="false" customHeight="false" outlineLevel="0" collapsed="false">
      <c r="A667" s="4" t="s">
        <v>22</v>
      </c>
      <c r="B667" s="5" t="s">
        <v>12</v>
      </c>
      <c r="C667" s="5" t="s">
        <v>54</v>
      </c>
      <c r="D667" s="4" t="s">
        <v>1374</v>
      </c>
      <c r="E667" s="15" t="n">
        <v>22000</v>
      </c>
      <c r="F667" s="4" t="s">
        <v>1375</v>
      </c>
      <c r="G667" s="16" t="s">
        <v>57</v>
      </c>
      <c r="H667" s="17"/>
      <c r="I667" s="17"/>
    </row>
    <row r="668" customFormat="false" ht="15" hidden="false" customHeight="false" outlineLevel="0" collapsed="false">
      <c r="A668" s="4" t="s">
        <v>22</v>
      </c>
      <c r="B668" s="5" t="s">
        <v>12</v>
      </c>
      <c r="C668" s="5" t="s">
        <v>54</v>
      </c>
      <c r="D668" s="4" t="s">
        <v>1376</v>
      </c>
      <c r="E668" s="15" t="n">
        <v>17600</v>
      </c>
      <c r="F668" s="4" t="s">
        <v>1377</v>
      </c>
      <c r="G668" s="16" t="s">
        <v>57</v>
      </c>
      <c r="H668" s="17"/>
      <c r="I668" s="17"/>
    </row>
    <row r="669" customFormat="false" ht="15" hidden="false" customHeight="false" outlineLevel="0" collapsed="false">
      <c r="A669" s="4" t="s">
        <v>22</v>
      </c>
      <c r="B669" s="5" t="s">
        <v>12</v>
      </c>
      <c r="C669" s="5" t="s">
        <v>54</v>
      </c>
      <c r="D669" s="4" t="s">
        <v>1378</v>
      </c>
      <c r="E669" s="15" t="n">
        <v>27500</v>
      </c>
      <c r="F669" s="4" t="s">
        <v>1379</v>
      </c>
      <c r="G669" s="16" t="s">
        <v>57</v>
      </c>
      <c r="H669" s="17"/>
      <c r="I669" s="17"/>
    </row>
    <row r="670" customFormat="false" ht="15" hidden="false" customHeight="false" outlineLevel="0" collapsed="false">
      <c r="A670" s="4" t="s">
        <v>22</v>
      </c>
      <c r="B670" s="5" t="s">
        <v>12</v>
      </c>
      <c r="C670" s="5" t="s">
        <v>54</v>
      </c>
      <c r="D670" s="4" t="s">
        <v>1380</v>
      </c>
      <c r="E670" s="15" t="n">
        <v>27500</v>
      </c>
      <c r="F670" s="4" t="s">
        <v>1381</v>
      </c>
      <c r="G670" s="16" t="s">
        <v>57</v>
      </c>
      <c r="H670" s="17"/>
      <c r="I670" s="17"/>
    </row>
    <row r="671" customFormat="false" ht="15" hidden="false" customHeight="false" outlineLevel="0" collapsed="false">
      <c r="A671" s="4" t="s">
        <v>22</v>
      </c>
      <c r="B671" s="5" t="s">
        <v>12</v>
      </c>
      <c r="C671" s="5" t="s">
        <v>54</v>
      </c>
      <c r="D671" s="4" t="s">
        <v>1382</v>
      </c>
      <c r="E671" s="15" t="n">
        <v>17050</v>
      </c>
      <c r="F671" s="4" t="s">
        <v>1383</v>
      </c>
      <c r="G671" s="16" t="s">
        <v>57</v>
      </c>
      <c r="H671" s="17"/>
      <c r="I671" s="17"/>
    </row>
    <row r="672" customFormat="false" ht="15" hidden="false" customHeight="false" outlineLevel="0" collapsed="false">
      <c r="A672" s="4" t="s">
        <v>22</v>
      </c>
      <c r="B672" s="5" t="s">
        <v>12</v>
      </c>
      <c r="C672" s="5" t="s">
        <v>54</v>
      </c>
      <c r="D672" s="4" t="s">
        <v>1384</v>
      </c>
      <c r="E672" s="15" t="n">
        <v>17050</v>
      </c>
      <c r="F672" s="4" t="s">
        <v>1385</v>
      </c>
      <c r="G672" s="16" t="s">
        <v>57</v>
      </c>
      <c r="H672" s="17"/>
      <c r="I672" s="17"/>
    </row>
    <row r="673" customFormat="false" ht="15" hidden="false" customHeight="false" outlineLevel="0" collapsed="false">
      <c r="A673" s="4" t="s">
        <v>22</v>
      </c>
      <c r="B673" s="5" t="s">
        <v>12</v>
      </c>
      <c r="C673" s="5" t="s">
        <v>54</v>
      </c>
      <c r="D673" s="4" t="s">
        <v>1386</v>
      </c>
      <c r="E673" s="15" t="n">
        <v>15400</v>
      </c>
      <c r="F673" s="4" t="s">
        <v>1387</v>
      </c>
      <c r="G673" s="16" t="s">
        <v>57</v>
      </c>
      <c r="H673" s="17"/>
      <c r="I673" s="17"/>
    </row>
    <row r="674" customFormat="false" ht="15" hidden="false" customHeight="false" outlineLevel="0" collapsed="false">
      <c r="A674" s="4" t="s">
        <v>22</v>
      </c>
      <c r="B674" s="5" t="s">
        <v>12</v>
      </c>
      <c r="C674" s="5" t="s">
        <v>54</v>
      </c>
      <c r="D674" s="4" t="s">
        <v>1388</v>
      </c>
      <c r="E674" s="15" t="n">
        <v>15400</v>
      </c>
      <c r="F674" s="4" t="s">
        <v>1389</v>
      </c>
      <c r="G674" s="16" t="s">
        <v>57</v>
      </c>
      <c r="H674" s="17"/>
      <c r="I674" s="17"/>
    </row>
    <row r="675" customFormat="false" ht="15" hidden="false" customHeight="false" outlineLevel="0" collapsed="false">
      <c r="A675" s="4" t="s">
        <v>22</v>
      </c>
      <c r="B675" s="5" t="s">
        <v>12</v>
      </c>
      <c r="C675" s="5" t="s">
        <v>54</v>
      </c>
      <c r="D675" s="4" t="s">
        <v>1390</v>
      </c>
      <c r="E675" s="15" t="n">
        <v>28600</v>
      </c>
      <c r="F675" s="4" t="s">
        <v>1391</v>
      </c>
      <c r="G675" s="16" t="s">
        <v>57</v>
      </c>
      <c r="H675" s="17"/>
      <c r="I675" s="17"/>
    </row>
    <row r="676" customFormat="false" ht="15" hidden="false" customHeight="false" outlineLevel="0" collapsed="false">
      <c r="A676" s="4" t="s">
        <v>22</v>
      </c>
      <c r="B676" s="5" t="s">
        <v>12</v>
      </c>
      <c r="C676" s="5" t="s">
        <v>54</v>
      </c>
      <c r="D676" s="4" t="s">
        <v>1392</v>
      </c>
      <c r="E676" s="15" t="n">
        <v>33000</v>
      </c>
      <c r="F676" s="4" t="s">
        <v>1393</v>
      </c>
      <c r="G676" s="16" t="s">
        <v>57</v>
      </c>
      <c r="H676" s="17"/>
      <c r="I676" s="17"/>
    </row>
    <row r="677" customFormat="false" ht="15" hidden="false" customHeight="false" outlineLevel="0" collapsed="false">
      <c r="A677" s="4" t="s">
        <v>22</v>
      </c>
      <c r="B677" s="5" t="s">
        <v>12</v>
      </c>
      <c r="C677" s="5" t="s">
        <v>54</v>
      </c>
      <c r="D677" s="4" t="s">
        <v>1394</v>
      </c>
      <c r="E677" s="15" t="n">
        <v>33000</v>
      </c>
      <c r="F677" s="4" t="s">
        <v>1395</v>
      </c>
      <c r="G677" s="16" t="s">
        <v>57</v>
      </c>
      <c r="H677" s="17"/>
      <c r="I677" s="17"/>
    </row>
    <row r="678" customFormat="false" ht="15" hidden="false" customHeight="false" outlineLevel="0" collapsed="false">
      <c r="A678" s="4" t="s">
        <v>22</v>
      </c>
      <c r="B678" s="5" t="s">
        <v>12</v>
      </c>
      <c r="C678" s="5" t="s">
        <v>54</v>
      </c>
      <c r="D678" s="4" t="s">
        <v>1396</v>
      </c>
      <c r="E678" s="15" t="n">
        <v>23100</v>
      </c>
      <c r="F678" s="4" t="s">
        <v>1397</v>
      </c>
      <c r="G678" s="16" t="s">
        <v>57</v>
      </c>
      <c r="H678" s="17"/>
      <c r="I678" s="17"/>
    </row>
    <row r="679" customFormat="false" ht="15" hidden="false" customHeight="false" outlineLevel="0" collapsed="false">
      <c r="A679" s="4" t="s">
        <v>22</v>
      </c>
      <c r="B679" s="5" t="s">
        <v>12</v>
      </c>
      <c r="C679" s="5" t="s">
        <v>54</v>
      </c>
      <c r="D679" s="4" t="s">
        <v>1398</v>
      </c>
      <c r="E679" s="15" t="n">
        <v>13200</v>
      </c>
      <c r="F679" s="4" t="s">
        <v>1399</v>
      </c>
      <c r="G679" s="16" t="s">
        <v>57</v>
      </c>
      <c r="H679" s="17"/>
      <c r="I679" s="17"/>
    </row>
    <row r="680" customFormat="false" ht="15" hidden="false" customHeight="false" outlineLevel="0" collapsed="false">
      <c r="A680" s="4" t="s">
        <v>22</v>
      </c>
      <c r="B680" s="5" t="s">
        <v>12</v>
      </c>
      <c r="C680" s="5" t="s">
        <v>54</v>
      </c>
      <c r="D680" s="4" t="s">
        <v>1400</v>
      </c>
      <c r="E680" s="15" t="n">
        <v>13200</v>
      </c>
      <c r="F680" s="4" t="s">
        <v>1401</v>
      </c>
      <c r="G680" s="16" t="s">
        <v>57</v>
      </c>
      <c r="H680" s="17"/>
      <c r="I680" s="17"/>
    </row>
    <row r="681" customFormat="false" ht="15" hidden="false" customHeight="false" outlineLevel="0" collapsed="false">
      <c r="A681" s="4" t="s">
        <v>22</v>
      </c>
      <c r="B681" s="5" t="s">
        <v>12</v>
      </c>
      <c r="C681" s="5" t="s">
        <v>54</v>
      </c>
      <c r="D681" s="4" t="s">
        <v>1402</v>
      </c>
      <c r="E681" s="15" t="n">
        <v>9900</v>
      </c>
      <c r="F681" s="4" t="s">
        <v>1403</v>
      </c>
      <c r="G681" s="16" t="s">
        <v>57</v>
      </c>
      <c r="H681" s="17"/>
      <c r="I681" s="17"/>
    </row>
    <row r="682" customFormat="false" ht="15" hidden="false" customHeight="false" outlineLevel="0" collapsed="false">
      <c r="A682" s="4" t="s">
        <v>22</v>
      </c>
      <c r="B682" s="5" t="s">
        <v>12</v>
      </c>
      <c r="C682" s="5" t="s">
        <v>54</v>
      </c>
      <c r="D682" s="4" t="s">
        <v>1404</v>
      </c>
      <c r="E682" s="15" t="n">
        <v>9900</v>
      </c>
      <c r="F682" s="4" t="s">
        <v>1405</v>
      </c>
      <c r="G682" s="16" t="s">
        <v>57</v>
      </c>
      <c r="H682" s="17"/>
      <c r="I682" s="17"/>
    </row>
    <row r="683" customFormat="false" ht="15" hidden="false" customHeight="false" outlineLevel="0" collapsed="false">
      <c r="A683" s="4" t="s">
        <v>22</v>
      </c>
      <c r="B683" s="5" t="s">
        <v>12</v>
      </c>
      <c r="C683" s="5" t="s">
        <v>54</v>
      </c>
      <c r="D683" s="4" t="s">
        <v>1406</v>
      </c>
      <c r="E683" s="15" t="n">
        <v>9900</v>
      </c>
      <c r="F683" s="4" t="s">
        <v>1407</v>
      </c>
      <c r="G683" s="16" t="s">
        <v>57</v>
      </c>
      <c r="H683" s="17"/>
      <c r="I683" s="17"/>
    </row>
    <row r="684" customFormat="false" ht="15" hidden="false" customHeight="false" outlineLevel="0" collapsed="false">
      <c r="A684" s="4" t="s">
        <v>22</v>
      </c>
      <c r="B684" s="5" t="s">
        <v>12</v>
      </c>
      <c r="C684" s="5" t="s">
        <v>54</v>
      </c>
      <c r="D684" s="4" t="s">
        <v>1408</v>
      </c>
      <c r="E684" s="15" t="n">
        <v>16500</v>
      </c>
      <c r="F684" s="4" t="s">
        <v>1409</v>
      </c>
      <c r="G684" s="16" t="s">
        <v>57</v>
      </c>
      <c r="H684" s="17"/>
      <c r="I684" s="17"/>
    </row>
    <row r="685" customFormat="false" ht="15" hidden="false" customHeight="false" outlineLevel="0" collapsed="false">
      <c r="A685" s="4" t="s">
        <v>22</v>
      </c>
      <c r="B685" s="5" t="s">
        <v>12</v>
      </c>
      <c r="C685" s="5" t="s">
        <v>54</v>
      </c>
      <c r="D685" s="4" t="s">
        <v>1410</v>
      </c>
      <c r="E685" s="15" t="n">
        <v>7700</v>
      </c>
      <c r="F685" s="4" t="s">
        <v>1411</v>
      </c>
      <c r="G685" s="16" t="s">
        <v>57</v>
      </c>
      <c r="H685" s="17"/>
      <c r="I685" s="17"/>
    </row>
    <row r="686" customFormat="false" ht="15" hidden="false" customHeight="false" outlineLevel="0" collapsed="false">
      <c r="A686" s="4" t="s">
        <v>22</v>
      </c>
      <c r="B686" s="5" t="s">
        <v>12</v>
      </c>
      <c r="C686" s="5" t="s">
        <v>54</v>
      </c>
      <c r="D686" s="4" t="s">
        <v>1412</v>
      </c>
      <c r="E686" s="15" t="n">
        <v>7700</v>
      </c>
      <c r="F686" s="4" t="s">
        <v>1413</v>
      </c>
      <c r="G686" s="16" t="s">
        <v>57</v>
      </c>
      <c r="H686" s="17"/>
      <c r="I686" s="17"/>
    </row>
    <row r="687" customFormat="false" ht="15" hidden="false" customHeight="false" outlineLevel="0" collapsed="false">
      <c r="A687" s="4" t="s">
        <v>22</v>
      </c>
      <c r="B687" s="5" t="s">
        <v>12</v>
      </c>
      <c r="C687" s="5" t="s">
        <v>54</v>
      </c>
      <c r="D687" s="4" t="s">
        <v>1414</v>
      </c>
      <c r="E687" s="15" t="n">
        <v>22000</v>
      </c>
      <c r="F687" s="4" t="s">
        <v>1415</v>
      </c>
      <c r="G687" s="16" t="s">
        <v>57</v>
      </c>
      <c r="H687" s="17"/>
      <c r="I687" s="17"/>
    </row>
    <row r="688" customFormat="false" ht="15" hidden="false" customHeight="false" outlineLevel="0" collapsed="false">
      <c r="A688" s="4" t="s">
        <v>22</v>
      </c>
      <c r="B688" s="5" t="s">
        <v>12</v>
      </c>
      <c r="C688" s="5" t="s">
        <v>54</v>
      </c>
      <c r="D688" s="4" t="s">
        <v>1414</v>
      </c>
      <c r="E688" s="15" t="n">
        <v>22000</v>
      </c>
      <c r="F688" s="4" t="s">
        <v>1416</v>
      </c>
      <c r="G688" s="16" t="s">
        <v>57</v>
      </c>
      <c r="H688" s="17"/>
      <c r="I688" s="17"/>
    </row>
    <row r="689" customFormat="false" ht="15" hidden="false" customHeight="false" outlineLevel="0" collapsed="false">
      <c r="A689" s="4" t="s">
        <v>22</v>
      </c>
      <c r="B689" s="5" t="s">
        <v>12</v>
      </c>
      <c r="C689" s="5" t="s">
        <v>54</v>
      </c>
      <c r="D689" s="4" t="s">
        <v>1414</v>
      </c>
      <c r="E689" s="15" t="n">
        <v>20900</v>
      </c>
      <c r="F689" s="4" t="s">
        <v>1417</v>
      </c>
      <c r="G689" s="16" t="s">
        <v>57</v>
      </c>
      <c r="H689" s="17"/>
      <c r="I689" s="17"/>
    </row>
    <row r="690" customFormat="false" ht="15" hidden="false" customHeight="false" outlineLevel="0" collapsed="false">
      <c r="A690" s="4" t="s">
        <v>22</v>
      </c>
      <c r="B690" s="5" t="s">
        <v>12</v>
      </c>
      <c r="C690" s="5" t="s">
        <v>54</v>
      </c>
      <c r="D690" s="4" t="s">
        <v>1418</v>
      </c>
      <c r="E690" s="15" t="n">
        <v>7150</v>
      </c>
      <c r="F690" s="4" t="s">
        <v>1419</v>
      </c>
      <c r="G690" s="16" t="s">
        <v>57</v>
      </c>
      <c r="H690" s="17"/>
      <c r="I690" s="17"/>
    </row>
    <row r="691" customFormat="false" ht="15" hidden="false" customHeight="false" outlineLevel="0" collapsed="false">
      <c r="A691" s="4" t="s">
        <v>22</v>
      </c>
      <c r="B691" s="5" t="s">
        <v>12</v>
      </c>
      <c r="C691" s="5" t="s">
        <v>54</v>
      </c>
      <c r="D691" s="4" t="s">
        <v>1420</v>
      </c>
      <c r="E691" s="15" t="n">
        <v>7150</v>
      </c>
      <c r="F691" s="4" t="s">
        <v>1421</v>
      </c>
      <c r="G691" s="16" t="s">
        <v>57</v>
      </c>
      <c r="H691" s="17"/>
      <c r="I691" s="17"/>
    </row>
    <row r="692" customFormat="false" ht="15" hidden="false" customHeight="false" outlineLevel="0" collapsed="false">
      <c r="A692" s="4" t="s">
        <v>22</v>
      </c>
      <c r="B692" s="5" t="s">
        <v>12</v>
      </c>
      <c r="C692" s="5" t="s">
        <v>54</v>
      </c>
      <c r="D692" s="4" t="s">
        <v>1422</v>
      </c>
      <c r="E692" s="15" t="n">
        <v>4400</v>
      </c>
      <c r="F692" s="4" t="s">
        <v>1423</v>
      </c>
      <c r="G692" s="16" t="s">
        <v>57</v>
      </c>
      <c r="H692" s="17"/>
      <c r="I692" s="17"/>
    </row>
    <row r="693" customFormat="false" ht="15" hidden="false" customHeight="false" outlineLevel="0" collapsed="false">
      <c r="A693" s="4" t="s">
        <v>22</v>
      </c>
      <c r="B693" s="5" t="s">
        <v>12</v>
      </c>
      <c r="C693" s="5" t="s">
        <v>54</v>
      </c>
      <c r="D693" s="4" t="s">
        <v>1424</v>
      </c>
      <c r="E693" s="15" t="n">
        <v>7700</v>
      </c>
      <c r="F693" s="4" t="s">
        <v>1425</v>
      </c>
      <c r="G693" s="16" t="s">
        <v>57</v>
      </c>
      <c r="H693" s="17"/>
      <c r="I693" s="17"/>
    </row>
    <row r="694" customFormat="false" ht="15" hidden="false" customHeight="false" outlineLevel="0" collapsed="false">
      <c r="A694" s="4" t="s">
        <v>22</v>
      </c>
      <c r="B694" s="5" t="s">
        <v>12</v>
      </c>
      <c r="C694" s="5" t="s">
        <v>54</v>
      </c>
      <c r="D694" s="4" t="s">
        <v>1426</v>
      </c>
      <c r="E694" s="15" t="n">
        <v>5500</v>
      </c>
      <c r="F694" s="4" t="s">
        <v>1427</v>
      </c>
      <c r="G694" s="16" t="s">
        <v>57</v>
      </c>
      <c r="H694" s="17"/>
      <c r="I694" s="17"/>
    </row>
    <row r="695" customFormat="false" ht="15" hidden="false" customHeight="false" outlineLevel="0" collapsed="false">
      <c r="A695" s="4" t="s">
        <v>22</v>
      </c>
      <c r="B695" s="5" t="s">
        <v>12</v>
      </c>
      <c r="C695" s="5" t="s">
        <v>54</v>
      </c>
      <c r="D695" s="4" t="s">
        <v>1428</v>
      </c>
      <c r="E695" s="15" t="n">
        <v>7700</v>
      </c>
      <c r="F695" s="4" t="s">
        <v>1429</v>
      </c>
      <c r="G695" s="16" t="s">
        <v>57</v>
      </c>
      <c r="H695" s="17"/>
      <c r="I695" s="17"/>
    </row>
    <row r="696" customFormat="false" ht="15" hidden="false" customHeight="false" outlineLevel="0" collapsed="false">
      <c r="A696" s="4" t="s">
        <v>22</v>
      </c>
      <c r="B696" s="5" t="s">
        <v>12</v>
      </c>
      <c r="C696" s="5" t="s">
        <v>54</v>
      </c>
      <c r="D696" s="4" t="s">
        <v>1430</v>
      </c>
      <c r="E696" s="15" t="n">
        <v>7700</v>
      </c>
      <c r="F696" s="4" t="s">
        <v>1431</v>
      </c>
      <c r="G696" s="16" t="s">
        <v>57</v>
      </c>
      <c r="H696" s="17"/>
      <c r="I696" s="17"/>
    </row>
    <row r="697" customFormat="false" ht="15" hidden="false" customHeight="false" outlineLevel="0" collapsed="false">
      <c r="A697" s="4" t="s">
        <v>22</v>
      </c>
      <c r="B697" s="5" t="s">
        <v>12</v>
      </c>
      <c r="C697" s="5" t="s">
        <v>54</v>
      </c>
      <c r="D697" s="4" t="s">
        <v>1432</v>
      </c>
      <c r="E697" s="15" t="n">
        <v>6050</v>
      </c>
      <c r="F697" s="4" t="s">
        <v>1433</v>
      </c>
      <c r="G697" s="16" t="s">
        <v>57</v>
      </c>
      <c r="H697" s="17"/>
      <c r="I697" s="17"/>
    </row>
    <row r="698" customFormat="false" ht="15" hidden="false" customHeight="false" outlineLevel="0" collapsed="false">
      <c r="A698" s="4" t="s">
        <v>22</v>
      </c>
      <c r="B698" s="5" t="s">
        <v>12</v>
      </c>
      <c r="C698" s="5" t="s">
        <v>54</v>
      </c>
      <c r="D698" s="4" t="s">
        <v>1434</v>
      </c>
      <c r="E698" s="15" t="n">
        <v>5500</v>
      </c>
      <c r="F698" s="4" t="s">
        <v>1435</v>
      </c>
      <c r="G698" s="16" t="s">
        <v>57</v>
      </c>
      <c r="H698" s="17"/>
      <c r="I698" s="17"/>
    </row>
    <row r="699" customFormat="false" ht="15" hidden="false" customHeight="false" outlineLevel="0" collapsed="false">
      <c r="A699" s="4" t="s">
        <v>22</v>
      </c>
      <c r="B699" s="5" t="s">
        <v>12</v>
      </c>
      <c r="C699" s="5" t="s">
        <v>54</v>
      </c>
      <c r="D699" s="4" t="s">
        <v>1436</v>
      </c>
      <c r="E699" s="15" t="n">
        <v>8250</v>
      </c>
      <c r="F699" s="4" t="s">
        <v>1437</v>
      </c>
      <c r="G699" s="16" t="s">
        <v>57</v>
      </c>
      <c r="H699" s="17"/>
      <c r="I699" s="17"/>
    </row>
    <row r="700" customFormat="false" ht="15" hidden="false" customHeight="false" outlineLevel="0" collapsed="false">
      <c r="A700" s="4" t="s">
        <v>22</v>
      </c>
      <c r="B700" s="5" t="s">
        <v>12</v>
      </c>
      <c r="C700" s="5" t="s">
        <v>54</v>
      </c>
      <c r="D700" s="4" t="s">
        <v>1438</v>
      </c>
      <c r="E700" s="15" t="n">
        <v>8250</v>
      </c>
      <c r="F700" s="4" t="s">
        <v>1439</v>
      </c>
      <c r="G700" s="16" t="s">
        <v>57</v>
      </c>
      <c r="H700" s="17"/>
      <c r="I700" s="17"/>
    </row>
    <row r="701" customFormat="false" ht="15" hidden="false" customHeight="false" outlineLevel="0" collapsed="false">
      <c r="A701" s="4" t="s">
        <v>22</v>
      </c>
      <c r="B701" s="5" t="s">
        <v>12</v>
      </c>
      <c r="C701" s="5" t="s">
        <v>54</v>
      </c>
      <c r="D701" s="4" t="s">
        <v>1440</v>
      </c>
      <c r="E701" s="15" t="n">
        <v>5500</v>
      </c>
      <c r="F701" s="4" t="s">
        <v>1441</v>
      </c>
      <c r="G701" s="16" t="s">
        <v>57</v>
      </c>
      <c r="H701" s="17"/>
      <c r="I701" s="17"/>
    </row>
    <row r="702" customFormat="false" ht="15" hidden="false" customHeight="false" outlineLevel="0" collapsed="false">
      <c r="A702" s="4" t="s">
        <v>22</v>
      </c>
      <c r="B702" s="5" t="s">
        <v>12</v>
      </c>
      <c r="C702" s="5" t="s">
        <v>54</v>
      </c>
      <c r="D702" s="4" t="s">
        <v>1442</v>
      </c>
      <c r="E702" s="15" t="n">
        <v>17600</v>
      </c>
      <c r="F702" s="4" t="s">
        <v>1443</v>
      </c>
      <c r="G702" s="16" t="s">
        <v>57</v>
      </c>
      <c r="H702" s="17"/>
      <c r="I702" s="17"/>
    </row>
    <row r="703" customFormat="false" ht="15" hidden="false" customHeight="false" outlineLevel="0" collapsed="false">
      <c r="A703" s="4" t="s">
        <v>22</v>
      </c>
      <c r="B703" s="5" t="s">
        <v>12</v>
      </c>
      <c r="C703" s="5" t="s">
        <v>54</v>
      </c>
      <c r="D703" s="4" t="s">
        <v>1444</v>
      </c>
      <c r="E703" s="15" t="n">
        <v>52800</v>
      </c>
      <c r="F703" s="4" t="s">
        <v>1445</v>
      </c>
      <c r="G703" s="16" t="s">
        <v>57</v>
      </c>
      <c r="H703" s="17"/>
      <c r="I703" s="17"/>
    </row>
    <row r="704" customFormat="false" ht="15" hidden="false" customHeight="false" outlineLevel="0" collapsed="false">
      <c r="A704" s="4" t="s">
        <v>22</v>
      </c>
      <c r="B704" s="5" t="s">
        <v>12</v>
      </c>
      <c r="C704" s="5" t="s">
        <v>54</v>
      </c>
      <c r="D704" s="4" t="s">
        <v>1446</v>
      </c>
      <c r="E704" s="15" t="n">
        <v>13200</v>
      </c>
      <c r="F704" s="4" t="s">
        <v>1447</v>
      </c>
      <c r="G704" s="16" t="s">
        <v>57</v>
      </c>
      <c r="H704" s="17"/>
      <c r="I704" s="17"/>
    </row>
    <row r="705" customFormat="false" ht="15" hidden="false" customHeight="false" outlineLevel="0" collapsed="false">
      <c r="A705" s="4" t="s">
        <v>22</v>
      </c>
      <c r="B705" s="5" t="s">
        <v>12</v>
      </c>
      <c r="C705" s="5" t="s">
        <v>54</v>
      </c>
      <c r="D705" s="4" t="s">
        <v>1448</v>
      </c>
      <c r="E705" s="15" t="n">
        <v>25300</v>
      </c>
      <c r="F705" s="4" t="s">
        <v>1449</v>
      </c>
      <c r="G705" s="16" t="s">
        <v>57</v>
      </c>
      <c r="H705" s="17"/>
      <c r="I705" s="17"/>
    </row>
    <row r="706" customFormat="false" ht="15" hidden="false" customHeight="false" outlineLevel="0" collapsed="false">
      <c r="A706" s="4" t="s">
        <v>22</v>
      </c>
      <c r="B706" s="5" t="s">
        <v>12</v>
      </c>
      <c r="C706" s="5" t="s">
        <v>54</v>
      </c>
      <c r="D706" s="4" t="s">
        <v>1450</v>
      </c>
      <c r="E706" s="15" t="n">
        <v>15400</v>
      </c>
      <c r="F706" s="4" t="s">
        <v>1451</v>
      </c>
      <c r="G706" s="16" t="s">
        <v>57</v>
      </c>
      <c r="H706" s="17"/>
      <c r="I706" s="17"/>
    </row>
    <row r="707" customFormat="false" ht="15" hidden="false" customHeight="false" outlineLevel="0" collapsed="false">
      <c r="A707" s="4" t="s">
        <v>22</v>
      </c>
      <c r="B707" s="5" t="s">
        <v>12</v>
      </c>
      <c r="C707" s="5" t="s">
        <v>54</v>
      </c>
      <c r="D707" s="4" t="s">
        <v>1452</v>
      </c>
      <c r="E707" s="15" t="n">
        <v>8250</v>
      </c>
      <c r="F707" s="4" t="s">
        <v>1453</v>
      </c>
      <c r="G707" s="16" t="s">
        <v>57</v>
      </c>
      <c r="H707" s="17"/>
      <c r="I707" s="17"/>
    </row>
    <row r="708" customFormat="false" ht="15" hidden="false" customHeight="false" outlineLevel="0" collapsed="false">
      <c r="A708" s="4" t="s">
        <v>22</v>
      </c>
      <c r="B708" s="5" t="s">
        <v>12</v>
      </c>
      <c r="C708" s="5" t="s">
        <v>54</v>
      </c>
      <c r="D708" s="4" t="s">
        <v>1454</v>
      </c>
      <c r="E708" s="15" t="n">
        <v>7700</v>
      </c>
      <c r="F708" s="4" t="s">
        <v>1455</v>
      </c>
      <c r="G708" s="16" t="s">
        <v>57</v>
      </c>
      <c r="H708" s="17"/>
      <c r="I708" s="17"/>
    </row>
    <row r="709" customFormat="false" ht="15" hidden="false" customHeight="false" outlineLevel="0" collapsed="false">
      <c r="A709" s="4" t="s">
        <v>22</v>
      </c>
      <c r="B709" s="5" t="s">
        <v>12</v>
      </c>
      <c r="C709" s="5" t="s">
        <v>54</v>
      </c>
      <c r="D709" s="4" t="s">
        <v>1456</v>
      </c>
      <c r="E709" s="15" t="n">
        <v>12100</v>
      </c>
      <c r="F709" s="4" t="s">
        <v>1457</v>
      </c>
      <c r="G709" s="16" t="s">
        <v>57</v>
      </c>
      <c r="H709" s="17"/>
      <c r="I709" s="17"/>
    </row>
    <row r="710" customFormat="false" ht="15" hidden="false" customHeight="false" outlineLevel="0" collapsed="false">
      <c r="A710" s="4" t="s">
        <v>22</v>
      </c>
      <c r="B710" s="5" t="s">
        <v>12</v>
      </c>
      <c r="C710" s="5" t="s">
        <v>54</v>
      </c>
      <c r="D710" s="4" t="s">
        <v>1458</v>
      </c>
      <c r="E710" s="15" t="n">
        <v>10450</v>
      </c>
      <c r="F710" s="4" t="s">
        <v>1459</v>
      </c>
      <c r="G710" s="16" t="s">
        <v>57</v>
      </c>
      <c r="H710" s="17"/>
      <c r="I710" s="17"/>
    </row>
    <row r="711" customFormat="false" ht="15" hidden="false" customHeight="false" outlineLevel="0" collapsed="false">
      <c r="A711" s="4" t="s">
        <v>22</v>
      </c>
      <c r="B711" s="5" t="s">
        <v>12</v>
      </c>
      <c r="C711" s="5" t="s">
        <v>54</v>
      </c>
      <c r="D711" s="4" t="s">
        <v>1460</v>
      </c>
      <c r="E711" s="15" t="n">
        <v>6600</v>
      </c>
      <c r="F711" s="4" t="s">
        <v>1461</v>
      </c>
      <c r="G711" s="16" t="s">
        <v>57</v>
      </c>
      <c r="H711" s="17"/>
      <c r="I711" s="17"/>
    </row>
    <row r="712" customFormat="false" ht="15" hidden="false" customHeight="false" outlineLevel="0" collapsed="false">
      <c r="A712" s="4" t="s">
        <v>22</v>
      </c>
      <c r="B712" s="5" t="s">
        <v>12</v>
      </c>
      <c r="C712" s="5" t="s">
        <v>54</v>
      </c>
      <c r="D712" s="4" t="s">
        <v>1462</v>
      </c>
      <c r="E712" s="15" t="n">
        <v>17600</v>
      </c>
      <c r="F712" s="4" t="s">
        <v>1463</v>
      </c>
      <c r="G712" s="16" t="s">
        <v>57</v>
      </c>
      <c r="H712" s="17"/>
      <c r="I712" s="17"/>
    </row>
    <row r="713" customFormat="false" ht="15" hidden="false" customHeight="false" outlineLevel="0" collapsed="false">
      <c r="A713" s="4" t="s">
        <v>22</v>
      </c>
      <c r="B713" s="5" t="s">
        <v>12</v>
      </c>
      <c r="C713" s="5" t="s">
        <v>54</v>
      </c>
      <c r="D713" s="4" t="s">
        <v>1464</v>
      </c>
      <c r="E713" s="15" t="n">
        <v>7700</v>
      </c>
      <c r="F713" s="4" t="s">
        <v>1465</v>
      </c>
      <c r="G713" s="16" t="s">
        <v>57</v>
      </c>
      <c r="H713" s="17"/>
      <c r="I713" s="17"/>
    </row>
    <row r="714" customFormat="false" ht="15" hidden="false" customHeight="false" outlineLevel="0" collapsed="false">
      <c r="A714" s="4" t="s">
        <v>22</v>
      </c>
      <c r="B714" s="5" t="s">
        <v>12</v>
      </c>
      <c r="C714" s="5" t="s">
        <v>54</v>
      </c>
      <c r="D714" s="4" t="s">
        <v>1466</v>
      </c>
      <c r="E714" s="15" t="n">
        <v>13200</v>
      </c>
      <c r="F714" s="4" t="s">
        <v>1467</v>
      </c>
      <c r="G714" s="16" t="s">
        <v>57</v>
      </c>
      <c r="H714" s="17"/>
      <c r="I714" s="17"/>
    </row>
    <row r="715" customFormat="false" ht="15" hidden="false" customHeight="false" outlineLevel="0" collapsed="false">
      <c r="A715" s="4" t="s">
        <v>22</v>
      </c>
      <c r="B715" s="5" t="s">
        <v>12</v>
      </c>
      <c r="C715" s="5" t="s">
        <v>54</v>
      </c>
      <c r="D715" s="4" t="s">
        <v>1468</v>
      </c>
      <c r="E715" s="15" t="n">
        <v>8250</v>
      </c>
      <c r="F715" s="4" t="s">
        <v>1469</v>
      </c>
      <c r="G715" s="16" t="s">
        <v>57</v>
      </c>
      <c r="H715" s="17"/>
      <c r="I715" s="17"/>
    </row>
    <row r="716" customFormat="false" ht="15" hidden="false" customHeight="false" outlineLevel="0" collapsed="false">
      <c r="A716" s="4" t="s">
        <v>22</v>
      </c>
      <c r="B716" s="5" t="s">
        <v>12</v>
      </c>
      <c r="C716" s="5" t="s">
        <v>54</v>
      </c>
      <c r="D716" s="4" t="s">
        <v>1470</v>
      </c>
      <c r="E716" s="15" t="n">
        <v>7150</v>
      </c>
      <c r="F716" s="4" t="s">
        <v>1471</v>
      </c>
      <c r="G716" s="16" t="s">
        <v>57</v>
      </c>
      <c r="H716" s="17"/>
      <c r="I716" s="17"/>
    </row>
    <row r="717" customFormat="false" ht="15" hidden="false" customHeight="false" outlineLevel="0" collapsed="false">
      <c r="A717" s="4" t="s">
        <v>22</v>
      </c>
      <c r="B717" s="5" t="s">
        <v>12</v>
      </c>
      <c r="C717" s="5" t="s">
        <v>54</v>
      </c>
      <c r="D717" s="4" t="s">
        <v>1472</v>
      </c>
      <c r="E717" s="15" t="n">
        <v>4950</v>
      </c>
      <c r="F717" s="4" t="s">
        <v>1473</v>
      </c>
      <c r="G717" s="16" t="s">
        <v>57</v>
      </c>
      <c r="H717" s="17"/>
      <c r="I717" s="17"/>
    </row>
    <row r="718" customFormat="false" ht="15" hidden="false" customHeight="false" outlineLevel="0" collapsed="false">
      <c r="A718" s="4" t="s">
        <v>22</v>
      </c>
      <c r="B718" s="5" t="s">
        <v>12</v>
      </c>
      <c r="C718" s="5" t="s">
        <v>54</v>
      </c>
      <c r="D718" s="4" t="s">
        <v>1474</v>
      </c>
      <c r="E718" s="15" t="n">
        <v>6600</v>
      </c>
      <c r="F718" s="4" t="s">
        <v>1475</v>
      </c>
      <c r="G718" s="16" t="s">
        <v>57</v>
      </c>
      <c r="H718" s="17"/>
      <c r="I718" s="17"/>
    </row>
    <row r="719" customFormat="false" ht="15" hidden="false" customHeight="false" outlineLevel="0" collapsed="false">
      <c r="A719" s="4" t="s">
        <v>22</v>
      </c>
      <c r="B719" s="5" t="s">
        <v>12</v>
      </c>
      <c r="C719" s="5" t="s">
        <v>54</v>
      </c>
      <c r="D719" s="4" t="s">
        <v>1476</v>
      </c>
      <c r="E719" s="15" t="n">
        <v>6600</v>
      </c>
      <c r="F719" s="4" t="s">
        <v>1477</v>
      </c>
      <c r="G719" s="16" t="s">
        <v>57</v>
      </c>
      <c r="H719" s="17"/>
      <c r="I719" s="17"/>
    </row>
    <row r="720" customFormat="false" ht="15" hidden="false" customHeight="false" outlineLevel="0" collapsed="false">
      <c r="A720" s="4" t="s">
        <v>22</v>
      </c>
      <c r="B720" s="5" t="s">
        <v>12</v>
      </c>
      <c r="C720" s="5" t="s">
        <v>54</v>
      </c>
      <c r="D720" s="4" t="s">
        <v>1478</v>
      </c>
      <c r="E720" s="15" t="n">
        <v>8800</v>
      </c>
      <c r="F720" s="4" t="s">
        <v>1479</v>
      </c>
      <c r="G720" s="16" t="s">
        <v>57</v>
      </c>
      <c r="H720" s="17"/>
      <c r="I720" s="17"/>
    </row>
    <row r="721" customFormat="false" ht="15" hidden="false" customHeight="false" outlineLevel="0" collapsed="false">
      <c r="A721" s="4" t="s">
        <v>22</v>
      </c>
      <c r="B721" s="5" t="s">
        <v>12</v>
      </c>
      <c r="C721" s="5" t="s">
        <v>54</v>
      </c>
      <c r="D721" s="4" t="s">
        <v>1480</v>
      </c>
      <c r="E721" s="15" t="n">
        <v>2200</v>
      </c>
      <c r="F721" s="4" t="s">
        <v>1481</v>
      </c>
      <c r="G721" s="16" t="s">
        <v>57</v>
      </c>
      <c r="H721" s="17"/>
      <c r="I721" s="17"/>
    </row>
    <row r="722" customFormat="false" ht="15" hidden="false" customHeight="false" outlineLevel="0" collapsed="false">
      <c r="A722" s="4" t="s">
        <v>22</v>
      </c>
      <c r="B722" s="5" t="s">
        <v>12</v>
      </c>
      <c r="C722" s="5" t="s">
        <v>54</v>
      </c>
      <c r="D722" s="4" t="s">
        <v>1482</v>
      </c>
      <c r="E722" s="15" t="n">
        <v>880</v>
      </c>
      <c r="F722" s="4" t="s">
        <v>1483</v>
      </c>
      <c r="G722" s="16" t="s">
        <v>57</v>
      </c>
      <c r="H722" s="17"/>
      <c r="I722" s="17"/>
    </row>
    <row r="723" customFormat="false" ht="15" hidden="false" customHeight="false" outlineLevel="0" collapsed="false">
      <c r="A723" s="4" t="s">
        <v>22</v>
      </c>
      <c r="B723" s="5" t="s">
        <v>12</v>
      </c>
      <c r="C723" s="5" t="s">
        <v>54</v>
      </c>
      <c r="D723" s="4" t="s">
        <v>1484</v>
      </c>
      <c r="E723" s="15" t="n">
        <v>1870</v>
      </c>
      <c r="F723" s="4" t="s">
        <v>1485</v>
      </c>
      <c r="G723" s="16" t="s">
        <v>57</v>
      </c>
      <c r="H723" s="17"/>
      <c r="I723" s="17"/>
    </row>
    <row r="724" customFormat="false" ht="15" hidden="false" customHeight="false" outlineLevel="0" collapsed="false">
      <c r="A724" s="4" t="s">
        <v>22</v>
      </c>
      <c r="B724" s="5" t="s">
        <v>12</v>
      </c>
      <c r="C724" s="5" t="s">
        <v>54</v>
      </c>
      <c r="D724" s="4" t="s">
        <v>1486</v>
      </c>
      <c r="E724" s="15" t="n">
        <v>1870</v>
      </c>
      <c r="F724" s="4" t="s">
        <v>1487</v>
      </c>
      <c r="G724" s="16" t="s">
        <v>57</v>
      </c>
      <c r="H724" s="17"/>
      <c r="I724" s="17"/>
    </row>
  </sheetData>
  <autoFilter ref="A1:I724"/>
  <conditionalFormatting sqref="A2:G724">
    <cfRule type="expression" priority="2" aboveAverage="0" equalAverage="0" bottom="0" percent="0" rank="0" text="" dxfId="9">
      <formula>$B2="新作"</formula>
    </cfRule>
    <cfRule type="expression" priority="3" aboveAverage="0" equalAverage="0" bottom="0" percent="0" rank="0" text="" dxfId="10">
      <formula>$B2="定番の冬物"</formula>
    </cfRule>
    <cfRule type="expression" priority="4" aboveAverage="0" equalAverage="0" bottom="0" percent="0" rank="0" text="" dxfId="11">
      <formula>$B2="夏物を外しただけ"</formula>
    </cfRule>
    <cfRule type="expression" priority="5" aboveAverage="0" equalAverage="0" bottom="0" percent="0" rank="0" text="" dxfId="12">
      <formula>$B2="出なくなる"</formula>
    </cfRule>
  </conditionalFormatting>
  <conditionalFormatting sqref="H2:I724">
    <cfRule type="expression" priority="6" aboveAverage="0" equalAverage="0" bottom="0" percent="0" rank="0" text="" dxfId="13">
      <formula>$H2="外したい"</formula>
    </cfRule>
    <cfRule type="expression" priority="7" aboveAverage="0" equalAverage="0" bottom="0" percent="0" rank="0" text="" dxfId="14">
      <formula>$H2="残したい"</formula>
    </cfRule>
  </conditionalFormatting>
  <dataValidations count="1">
    <dataValidation allowBlank="true" errorStyle="stop" operator="between" prompt="OK／外したい（出る商品）／残したい（出なくなる商品）から選ぶ" promptTitle="確認" showDropDown="false" showErrorMessage="false" showInputMessage="false" sqref="H2:H724" type="list">
      <formula1>"OK,外したい,残したい"</formula1>
      <formula2>0</formula2>
    </dataValidation>
  </dataValidations>
  <hyperlinks>
    <hyperlink ref="G2" r:id="rId1" display="開く"/>
    <hyperlink ref="G3" r:id="rId2" display="開く"/>
    <hyperlink ref="G4" r:id="rId3" display="開く"/>
    <hyperlink ref="G5" r:id="rId4" display="開く"/>
    <hyperlink ref="G6" r:id="rId5" display="開く"/>
    <hyperlink ref="G7" r:id="rId6" display="開く"/>
    <hyperlink ref="G8" r:id="rId7" display="開く"/>
    <hyperlink ref="G9" r:id="rId8" display="開く"/>
    <hyperlink ref="G10" r:id="rId9" display="開く"/>
    <hyperlink ref="G11" r:id="rId10" display="開く"/>
    <hyperlink ref="G12" r:id="rId11" display="開く"/>
    <hyperlink ref="G13" r:id="rId12" display="開く"/>
    <hyperlink ref="G14" r:id="rId13" display="開く"/>
    <hyperlink ref="G15" r:id="rId14" display="開く"/>
    <hyperlink ref="G16" r:id="rId15" display="開く"/>
    <hyperlink ref="G17" r:id="rId16" display="開く"/>
    <hyperlink ref="G18" r:id="rId17" display="開く"/>
    <hyperlink ref="G19" r:id="rId18" display="開く"/>
    <hyperlink ref="G20" r:id="rId19" display="開く"/>
    <hyperlink ref="G21" r:id="rId20" display="開く"/>
    <hyperlink ref="G22" r:id="rId21" display="開く"/>
    <hyperlink ref="G23" r:id="rId22" display="開く"/>
    <hyperlink ref="G24" r:id="rId23" display="開く"/>
    <hyperlink ref="G25" r:id="rId24" display="開く"/>
    <hyperlink ref="G26" r:id="rId25" display="開く"/>
    <hyperlink ref="G27" r:id="rId26" display="開く"/>
    <hyperlink ref="G28" r:id="rId27" display="開く"/>
    <hyperlink ref="G29" r:id="rId28" display="開く"/>
    <hyperlink ref="G30" r:id="rId29" display="開く"/>
    <hyperlink ref="G31" r:id="rId30" display="開く"/>
    <hyperlink ref="G32" r:id="rId31" display="開く"/>
    <hyperlink ref="G33" r:id="rId32" display="開く"/>
    <hyperlink ref="G34" r:id="rId33" display="開く"/>
    <hyperlink ref="G35" r:id="rId34" display="開く"/>
    <hyperlink ref="G36" r:id="rId35" display="開く"/>
    <hyperlink ref="G37" r:id="rId36" display="開く"/>
    <hyperlink ref="G38" r:id="rId37" display="開く"/>
    <hyperlink ref="G39" r:id="rId38" display="開く"/>
    <hyperlink ref="G40" r:id="rId39" display="開く"/>
    <hyperlink ref="G41" r:id="rId40" display="開く"/>
    <hyperlink ref="G42" r:id="rId41" display="開く"/>
    <hyperlink ref="G43" r:id="rId42" display="開く"/>
    <hyperlink ref="G44" r:id="rId43" display="開く"/>
    <hyperlink ref="G45" r:id="rId44" display="開く"/>
    <hyperlink ref="G46" r:id="rId45" display="開く"/>
    <hyperlink ref="G47" r:id="rId46" display="開く"/>
    <hyperlink ref="G48" r:id="rId47" display="開く"/>
    <hyperlink ref="G49" r:id="rId48" display="開く"/>
    <hyperlink ref="G50" r:id="rId49" display="開く"/>
    <hyperlink ref="G51" r:id="rId50" display="開く"/>
    <hyperlink ref="G52" r:id="rId51" display="開く"/>
    <hyperlink ref="G53" r:id="rId52" display="開く"/>
    <hyperlink ref="G54" r:id="rId53" display="開く"/>
    <hyperlink ref="G55" r:id="rId54" display="開く"/>
    <hyperlink ref="G56" r:id="rId55" display="開く"/>
    <hyperlink ref="G57" r:id="rId56" display="開く"/>
    <hyperlink ref="G58" r:id="rId57" display="開く"/>
    <hyperlink ref="G59" r:id="rId58" display="開く"/>
    <hyperlink ref="G60" r:id="rId59" display="開く"/>
    <hyperlink ref="G61" r:id="rId60" display="開く"/>
    <hyperlink ref="G62" r:id="rId61" display="開く"/>
    <hyperlink ref="G63" r:id="rId62" display="開く"/>
    <hyperlink ref="G64" r:id="rId63" display="開く"/>
    <hyperlink ref="G65" r:id="rId64" display="開く"/>
    <hyperlink ref="G66" r:id="rId65" display="開く"/>
    <hyperlink ref="G67" r:id="rId66" display="開く"/>
    <hyperlink ref="G68" r:id="rId67" display="開く"/>
    <hyperlink ref="G69" r:id="rId68" display="開く"/>
    <hyperlink ref="G70" r:id="rId69" display="開く"/>
    <hyperlink ref="G71" r:id="rId70" display="開く"/>
    <hyperlink ref="G72" r:id="rId71" display="開く"/>
    <hyperlink ref="G73" r:id="rId72" display="開く"/>
    <hyperlink ref="G74" r:id="rId73" display="開く"/>
    <hyperlink ref="G75" r:id="rId74" display="開く"/>
    <hyperlink ref="G76" r:id="rId75" display="開く"/>
    <hyperlink ref="G77" r:id="rId76" display="開く"/>
    <hyperlink ref="G78" r:id="rId77" display="開く"/>
    <hyperlink ref="G79" r:id="rId78" display="開く"/>
    <hyperlink ref="G80" r:id="rId79" display="開く"/>
    <hyperlink ref="G81" r:id="rId80" display="開く"/>
    <hyperlink ref="G82" r:id="rId81" display="開く"/>
    <hyperlink ref="G83" r:id="rId82" display="開く"/>
    <hyperlink ref="G84" r:id="rId83" display="開く"/>
    <hyperlink ref="G85" r:id="rId84" display="開く"/>
    <hyperlink ref="G86" r:id="rId85" display="開く"/>
    <hyperlink ref="G87" r:id="rId86" display="開く"/>
    <hyperlink ref="G88" r:id="rId87" display="開く"/>
    <hyperlink ref="G89" r:id="rId88" display="開く"/>
    <hyperlink ref="G90" r:id="rId89" display="開く"/>
    <hyperlink ref="G91" r:id="rId90" display="開く"/>
    <hyperlink ref="G92" r:id="rId91" display="開く"/>
    <hyperlink ref="G93" r:id="rId92" display="開く"/>
    <hyperlink ref="G94" r:id="rId93" display="開く"/>
    <hyperlink ref="G95" r:id="rId94" display="開く"/>
    <hyperlink ref="G96" r:id="rId95" display="開く"/>
    <hyperlink ref="G97" r:id="rId96" display="開く"/>
    <hyperlink ref="G98" r:id="rId97" display="開く"/>
    <hyperlink ref="G99" r:id="rId98" display="開く"/>
    <hyperlink ref="G100" r:id="rId99" display="開く"/>
    <hyperlink ref="G101" r:id="rId100" display="開く"/>
    <hyperlink ref="G102" r:id="rId101" display="開く"/>
    <hyperlink ref="G103" r:id="rId102" display="開く"/>
    <hyperlink ref="G104" r:id="rId103" display="開く"/>
    <hyperlink ref="G105" r:id="rId104" display="開く"/>
    <hyperlink ref="G106" r:id="rId105" display="開く"/>
    <hyperlink ref="G107" r:id="rId106" display="開く"/>
    <hyperlink ref="G108" r:id="rId107" display="開く"/>
    <hyperlink ref="G109" r:id="rId108" display="開く"/>
    <hyperlink ref="G110" r:id="rId109" display="開く"/>
    <hyperlink ref="G111" r:id="rId110" display="開く"/>
    <hyperlink ref="G112" r:id="rId111" display="開く"/>
    <hyperlink ref="G113" r:id="rId112" display="開く"/>
    <hyperlink ref="G114" r:id="rId113" display="開く"/>
    <hyperlink ref="G115" r:id="rId114" display="開く"/>
    <hyperlink ref="G116" r:id="rId115" display="開く"/>
    <hyperlink ref="G117" r:id="rId116" display="開く"/>
    <hyperlink ref="G118" r:id="rId117" display="開く"/>
    <hyperlink ref="G119" r:id="rId118" display="開く"/>
    <hyperlink ref="G120" r:id="rId119" display="開く"/>
    <hyperlink ref="G121" r:id="rId120" display="開く"/>
    <hyperlink ref="G122" r:id="rId121" display="開く"/>
    <hyperlink ref="G123" r:id="rId122" display="開く"/>
    <hyperlink ref="G124" r:id="rId123" display="開く"/>
    <hyperlink ref="G125" r:id="rId124" display="開く"/>
    <hyperlink ref="G126" r:id="rId125" display="開く"/>
    <hyperlink ref="G127" r:id="rId126" display="開く"/>
    <hyperlink ref="G128" r:id="rId127" display="開く"/>
    <hyperlink ref="G129" r:id="rId128" display="開く"/>
    <hyperlink ref="G130" r:id="rId129" display="開く"/>
    <hyperlink ref="G131" r:id="rId130" display="開く"/>
    <hyperlink ref="G132" r:id="rId131" display="開く"/>
    <hyperlink ref="G133" r:id="rId132" display="開く"/>
    <hyperlink ref="G134" r:id="rId133" display="開く"/>
    <hyperlink ref="G135" r:id="rId134" display="開く"/>
    <hyperlink ref="G136" r:id="rId135" display="開く"/>
    <hyperlink ref="G137" r:id="rId136" display="開く"/>
    <hyperlink ref="G138" r:id="rId137" display="開く"/>
    <hyperlink ref="G139" r:id="rId138" display="開く"/>
    <hyperlink ref="G140" r:id="rId139" display="開く"/>
    <hyperlink ref="G141" r:id="rId140" display="開く"/>
    <hyperlink ref="G142" r:id="rId141" display="開く"/>
    <hyperlink ref="G143" r:id="rId142" display="開く"/>
    <hyperlink ref="G144" r:id="rId143" display="開く"/>
    <hyperlink ref="G145" r:id="rId144" display="開く"/>
    <hyperlink ref="G146" r:id="rId145" display="開く"/>
    <hyperlink ref="G147" r:id="rId146" display="開く"/>
    <hyperlink ref="G148" r:id="rId147" display="開く"/>
    <hyperlink ref="G149" r:id="rId148" display="開く"/>
    <hyperlink ref="G150" r:id="rId149" display="開く"/>
    <hyperlink ref="G151" r:id="rId150" display="開く"/>
    <hyperlink ref="G152" r:id="rId151" display="開く"/>
    <hyperlink ref="G153" r:id="rId152" display="開く"/>
    <hyperlink ref="G154" r:id="rId153" display="開く"/>
    <hyperlink ref="G155" r:id="rId154" display="開く"/>
    <hyperlink ref="G156" r:id="rId155" display="開く"/>
    <hyperlink ref="G157" r:id="rId156" display="開く"/>
    <hyperlink ref="G158" r:id="rId157" display="開く"/>
    <hyperlink ref="G159" r:id="rId158" display="開く"/>
    <hyperlink ref="G160" r:id="rId159" display="開く"/>
    <hyperlink ref="G161" r:id="rId160" display="開く"/>
    <hyperlink ref="G162" r:id="rId161" display="開く"/>
    <hyperlink ref="G163" r:id="rId162" display="開く"/>
    <hyperlink ref="G164" r:id="rId163" display="開く"/>
    <hyperlink ref="G165" r:id="rId164" display="開く"/>
    <hyperlink ref="G166" r:id="rId165" display="開く"/>
    <hyperlink ref="G167" r:id="rId166" display="開く"/>
    <hyperlink ref="G168" r:id="rId167" display="開く"/>
    <hyperlink ref="G169" r:id="rId168" display="開く"/>
    <hyperlink ref="G170" r:id="rId169" display="開く"/>
    <hyperlink ref="G171" r:id="rId170" display="開く"/>
    <hyperlink ref="G172" r:id="rId171" display="開く"/>
    <hyperlink ref="G173" r:id="rId172" display="開く"/>
    <hyperlink ref="G174" r:id="rId173" display="開く"/>
    <hyperlink ref="G175" r:id="rId174" display="開く"/>
    <hyperlink ref="G176" r:id="rId175" display="開く"/>
    <hyperlink ref="G177" r:id="rId176" display="開く"/>
    <hyperlink ref="G178" r:id="rId177" display="開く"/>
    <hyperlink ref="G179" r:id="rId178" display="開く"/>
    <hyperlink ref="G180" r:id="rId179" display="開く"/>
    <hyperlink ref="G181" r:id="rId180" display="開く"/>
    <hyperlink ref="G182" r:id="rId181" display="開く"/>
    <hyperlink ref="G183" r:id="rId182" display="開く"/>
    <hyperlink ref="G184" r:id="rId183" display="開く"/>
    <hyperlink ref="G185" r:id="rId184" display="開く"/>
    <hyperlink ref="G186" r:id="rId185" display="開く"/>
    <hyperlink ref="G187" r:id="rId186" display="開く"/>
    <hyperlink ref="G188" r:id="rId187" display="開く"/>
    <hyperlink ref="G189" r:id="rId188" display="開く"/>
    <hyperlink ref="G190" r:id="rId189" display="開く"/>
    <hyperlink ref="G191" r:id="rId190" display="開く"/>
    <hyperlink ref="G192" r:id="rId191" display="開く"/>
    <hyperlink ref="G193" r:id="rId192" display="開く"/>
    <hyperlink ref="G194" r:id="rId193" display="開く"/>
    <hyperlink ref="G195" r:id="rId194" display="開く"/>
    <hyperlink ref="G196" r:id="rId195" display="開く"/>
    <hyperlink ref="G197" r:id="rId196" display="開く"/>
    <hyperlink ref="G198" r:id="rId197" display="開く"/>
    <hyperlink ref="G199" r:id="rId198" display="開く"/>
    <hyperlink ref="G200" r:id="rId199" display="開く"/>
    <hyperlink ref="G201" r:id="rId200" display="開く"/>
    <hyperlink ref="G202" r:id="rId201" display="開く"/>
    <hyperlink ref="G203" r:id="rId202" display="開く"/>
    <hyperlink ref="G204" r:id="rId203" display="開く"/>
    <hyperlink ref="G205" r:id="rId204" display="開く"/>
    <hyperlink ref="G206" r:id="rId205" display="開く"/>
    <hyperlink ref="G207" r:id="rId206" display="開く"/>
    <hyperlink ref="G208" r:id="rId207" display="開く"/>
    <hyperlink ref="G209" r:id="rId208" display="開く"/>
    <hyperlink ref="G210" r:id="rId209" display="開く"/>
    <hyperlink ref="G211" r:id="rId210" display="開く"/>
    <hyperlink ref="G212" r:id="rId211" display="開く"/>
    <hyperlink ref="G213" r:id="rId212" display="開く"/>
    <hyperlink ref="G214" r:id="rId213" display="開く"/>
    <hyperlink ref="G215" r:id="rId214" display="開く"/>
    <hyperlink ref="G216" r:id="rId215" display="開く"/>
    <hyperlink ref="G217" r:id="rId216" display="開く"/>
    <hyperlink ref="G218" r:id="rId217" display="開く"/>
    <hyperlink ref="G219" r:id="rId218" display="開く"/>
    <hyperlink ref="G220" r:id="rId219" display="開く"/>
    <hyperlink ref="G221" r:id="rId220" display="開く"/>
    <hyperlink ref="G222" r:id="rId221" display="開く"/>
    <hyperlink ref="G223" r:id="rId222" display="開く"/>
    <hyperlink ref="G224" r:id="rId223" display="開く"/>
    <hyperlink ref="G225" r:id="rId224" display="開く"/>
    <hyperlink ref="G226" r:id="rId225" display="開く"/>
    <hyperlink ref="G227" r:id="rId226" display="開く"/>
    <hyperlink ref="G228" r:id="rId227" display="開く"/>
    <hyperlink ref="G229" r:id="rId228" display="開く"/>
    <hyperlink ref="G230" r:id="rId229" display="開く"/>
    <hyperlink ref="G231" r:id="rId230" display="開く"/>
    <hyperlink ref="G232" r:id="rId231" display="開く"/>
    <hyperlink ref="G233" r:id="rId232" display="開く"/>
    <hyperlink ref="G234" r:id="rId233" display="開く"/>
    <hyperlink ref="G235" r:id="rId234" display="開く"/>
    <hyperlink ref="G236" r:id="rId235" display="開く"/>
    <hyperlink ref="G237" r:id="rId236" display="開く"/>
    <hyperlink ref="G238" r:id="rId237" display="開く"/>
    <hyperlink ref="G239" r:id="rId238" display="開く"/>
    <hyperlink ref="G240" r:id="rId239" display="開く"/>
    <hyperlink ref="G241" r:id="rId240" display="開く"/>
    <hyperlink ref="G242" r:id="rId241" display="開く"/>
    <hyperlink ref="G243" r:id="rId242" display="開く"/>
    <hyperlink ref="G244" r:id="rId243" display="開く"/>
    <hyperlink ref="G245" r:id="rId244" display="開く"/>
    <hyperlink ref="G246" r:id="rId245" display="開く"/>
    <hyperlink ref="G247" r:id="rId246" display="開く"/>
    <hyperlink ref="G248" r:id="rId247" display="開く"/>
    <hyperlink ref="G249" r:id="rId248" display="開く"/>
    <hyperlink ref="G250" r:id="rId249" display="開く"/>
    <hyperlink ref="G251" r:id="rId250" display="開く"/>
    <hyperlink ref="G252" r:id="rId251" display="開く"/>
    <hyperlink ref="G253" r:id="rId252" display="開く"/>
    <hyperlink ref="G254" r:id="rId253" display="開く"/>
    <hyperlink ref="G255" r:id="rId254" display="開く"/>
    <hyperlink ref="G256" r:id="rId255" display="開く"/>
    <hyperlink ref="G257" r:id="rId256" display="開く"/>
    <hyperlink ref="G258" r:id="rId257" display="開く"/>
    <hyperlink ref="G259" r:id="rId258" display="開く"/>
    <hyperlink ref="G260" r:id="rId259" display="開く"/>
    <hyperlink ref="G261" r:id="rId260" display="開く"/>
    <hyperlink ref="G262" r:id="rId261" display="開く"/>
    <hyperlink ref="G263" r:id="rId262" display="開く"/>
    <hyperlink ref="G264" r:id="rId263" display="開く"/>
    <hyperlink ref="G265" r:id="rId264" display="開く"/>
    <hyperlink ref="G266" r:id="rId265" display="開く"/>
    <hyperlink ref="G267" r:id="rId266" display="開く"/>
    <hyperlink ref="G268" r:id="rId267" display="開く"/>
    <hyperlink ref="G269" r:id="rId268" display="開く"/>
    <hyperlink ref="G270" r:id="rId269" display="開く"/>
    <hyperlink ref="G271" r:id="rId270" display="開く"/>
    <hyperlink ref="G272" r:id="rId271" display="開く"/>
    <hyperlink ref="G273" r:id="rId272" display="開く"/>
    <hyperlink ref="G274" r:id="rId273" display="開く"/>
    <hyperlink ref="G275" r:id="rId274" display="開く"/>
    <hyperlink ref="G276" r:id="rId275" display="開く"/>
    <hyperlink ref="G277" r:id="rId276" display="開く"/>
    <hyperlink ref="G278" r:id="rId277" display="開く"/>
    <hyperlink ref="G279" r:id="rId278" display="開く"/>
    <hyperlink ref="G280" r:id="rId279" display="開く"/>
    <hyperlink ref="G281" r:id="rId280" display="開く"/>
    <hyperlink ref="G282" r:id="rId281" display="開く"/>
    <hyperlink ref="G283" r:id="rId282" display="開く"/>
    <hyperlink ref="G284" r:id="rId283" display="開く"/>
    <hyperlink ref="G285" r:id="rId284" display="開く"/>
    <hyperlink ref="G286" r:id="rId285" display="開く"/>
    <hyperlink ref="G287" r:id="rId286" display="開く"/>
    <hyperlink ref="G288" r:id="rId287" display="開く"/>
    <hyperlink ref="G289" r:id="rId288" display="開く"/>
    <hyperlink ref="G290" r:id="rId289" display="開く"/>
    <hyperlink ref="G291" r:id="rId290" display="開く"/>
    <hyperlink ref="G292" r:id="rId291" display="開く"/>
    <hyperlink ref="G293" r:id="rId292" display="開く"/>
    <hyperlink ref="G294" r:id="rId293" display="開く"/>
    <hyperlink ref="G295" r:id="rId294" display="開く"/>
    <hyperlink ref="G296" r:id="rId295" display="開く"/>
    <hyperlink ref="G297" r:id="rId296" display="開く"/>
    <hyperlink ref="G298" r:id="rId297" display="開く"/>
    <hyperlink ref="G299" r:id="rId298" display="開く"/>
    <hyperlink ref="G300" r:id="rId299" display="開く"/>
    <hyperlink ref="G301" r:id="rId300" display="開く"/>
    <hyperlink ref="G302" r:id="rId301" display="開く"/>
    <hyperlink ref="G303" r:id="rId302" display="開く"/>
    <hyperlink ref="G304" r:id="rId303" display="開く"/>
    <hyperlink ref="G305" r:id="rId304" display="開く"/>
    <hyperlink ref="G306" r:id="rId305" display="開く"/>
    <hyperlink ref="G307" r:id="rId306" display="開く"/>
    <hyperlink ref="G308" r:id="rId307" display="開く"/>
    <hyperlink ref="G309" r:id="rId308" display="開く"/>
    <hyperlink ref="G310" r:id="rId309" display="開く"/>
    <hyperlink ref="G311" r:id="rId310" display="開く"/>
    <hyperlink ref="G312" r:id="rId311" display="開く"/>
    <hyperlink ref="G313" r:id="rId312" display="開く"/>
    <hyperlink ref="G314" r:id="rId313" display="開く"/>
    <hyperlink ref="G315" r:id="rId314" display="開く"/>
    <hyperlink ref="G316" r:id="rId315" display="開く"/>
    <hyperlink ref="G317" r:id="rId316" display="開く"/>
    <hyperlink ref="G318" r:id="rId317" display="開く"/>
    <hyperlink ref="G319" r:id="rId318" display="開く"/>
    <hyperlink ref="G320" r:id="rId319" display="開く"/>
    <hyperlink ref="G321" r:id="rId320" display="開く"/>
    <hyperlink ref="G322" r:id="rId321" display="開く"/>
    <hyperlink ref="G323" r:id="rId322" display="開く"/>
    <hyperlink ref="G324" r:id="rId323" display="開く"/>
    <hyperlink ref="G325" r:id="rId324" display="開く"/>
    <hyperlink ref="G326" r:id="rId325" display="開く"/>
    <hyperlink ref="G327" r:id="rId326" display="開く"/>
    <hyperlink ref="G328" r:id="rId327" display="開く"/>
    <hyperlink ref="G329" r:id="rId328" display="開く"/>
    <hyperlink ref="G330" r:id="rId329" display="開く"/>
    <hyperlink ref="G331" r:id="rId330" display="開く"/>
    <hyperlink ref="G332" r:id="rId331" display="開く"/>
    <hyperlink ref="G333" r:id="rId332" display="開く"/>
    <hyperlink ref="G334" r:id="rId333" display="開く"/>
    <hyperlink ref="G335" r:id="rId334" display="開く"/>
    <hyperlink ref="G336" r:id="rId335" display="開く"/>
    <hyperlink ref="G337" r:id="rId336" display="開く"/>
    <hyperlink ref="G338" r:id="rId337" display="開く"/>
    <hyperlink ref="G339" r:id="rId338" display="開く"/>
    <hyperlink ref="G340" r:id="rId339" display="開く"/>
    <hyperlink ref="G341" r:id="rId340" display="開く"/>
    <hyperlink ref="G342" r:id="rId341" display="開く"/>
    <hyperlink ref="G343" r:id="rId342" display="開く"/>
    <hyperlink ref="G344" r:id="rId343" display="開く"/>
    <hyperlink ref="G345" r:id="rId344" display="開く"/>
    <hyperlink ref="G346" r:id="rId345" display="開く"/>
    <hyperlink ref="G347" r:id="rId346" display="開く"/>
    <hyperlink ref="G348" r:id="rId347" display="開く"/>
    <hyperlink ref="G349" r:id="rId348" display="開く"/>
    <hyperlink ref="G350" r:id="rId349" display="開く"/>
    <hyperlink ref="G351" r:id="rId350" display="開く"/>
    <hyperlink ref="G352" r:id="rId351" display="開く"/>
    <hyperlink ref="G353" r:id="rId352" display="開く"/>
    <hyperlink ref="G354" r:id="rId353" display="開く"/>
    <hyperlink ref="G355" r:id="rId354" display="開く"/>
    <hyperlink ref="G356" r:id="rId355" display="開く"/>
    <hyperlink ref="G357" r:id="rId356" display="開く"/>
    <hyperlink ref="G358" r:id="rId357" display="開く"/>
    <hyperlink ref="G359" r:id="rId358" display="開く"/>
    <hyperlink ref="G360" r:id="rId359" display="開く"/>
    <hyperlink ref="G361" r:id="rId360" display="開く"/>
    <hyperlink ref="G362" r:id="rId361" display="開く"/>
    <hyperlink ref="G363" r:id="rId362" display="開く"/>
    <hyperlink ref="G364" r:id="rId363" display="開く"/>
    <hyperlink ref="G365" r:id="rId364" display="開く"/>
    <hyperlink ref="G366" r:id="rId365" display="開く"/>
    <hyperlink ref="G367" r:id="rId366" display="開く"/>
    <hyperlink ref="G368" r:id="rId367" display="開く"/>
    <hyperlink ref="G369" r:id="rId368" display="開く"/>
    <hyperlink ref="G370" r:id="rId369" display="開く"/>
    <hyperlink ref="G371" r:id="rId370" display="開く"/>
    <hyperlink ref="G372" r:id="rId371" display="開く"/>
    <hyperlink ref="G373" r:id="rId372" display="開く"/>
    <hyperlink ref="G374" r:id="rId373" display="開く"/>
    <hyperlink ref="G375" r:id="rId374" display="開く"/>
    <hyperlink ref="G376" r:id="rId375" display="開く"/>
    <hyperlink ref="G377" r:id="rId376" display="開く"/>
    <hyperlink ref="G378" r:id="rId377" display="開く"/>
    <hyperlink ref="G379" r:id="rId378" display="開く"/>
    <hyperlink ref="G380" r:id="rId379" display="開く"/>
    <hyperlink ref="G381" r:id="rId380" display="開く"/>
    <hyperlink ref="G382" r:id="rId381" display="開く"/>
    <hyperlink ref="G383" r:id="rId382" display="開く"/>
    <hyperlink ref="G384" r:id="rId383" display="開く"/>
    <hyperlink ref="G385" r:id="rId384" display="開く"/>
    <hyperlink ref="G386" r:id="rId385" display="開く"/>
    <hyperlink ref="G387" r:id="rId386" display="開く"/>
    <hyperlink ref="G388" r:id="rId387" display="開く"/>
    <hyperlink ref="G389" r:id="rId388" display="開く"/>
    <hyperlink ref="G390" r:id="rId389" display="開く"/>
    <hyperlink ref="G391" r:id="rId390" display="開く"/>
    <hyperlink ref="G392" r:id="rId391" display="開く"/>
    <hyperlink ref="G393" r:id="rId392" display="開く"/>
    <hyperlink ref="G394" r:id="rId393" display="開く"/>
    <hyperlink ref="G395" r:id="rId394" display="開く"/>
    <hyperlink ref="G396" r:id="rId395" display="開く"/>
    <hyperlink ref="G397" r:id="rId396" display="開く"/>
    <hyperlink ref="G398" r:id="rId397" display="開く"/>
    <hyperlink ref="G399" r:id="rId398" display="開く"/>
    <hyperlink ref="G400" r:id="rId399" display="開く"/>
    <hyperlink ref="G401" r:id="rId400" display="開く"/>
    <hyperlink ref="G402" r:id="rId401" display="開く"/>
    <hyperlink ref="G403" r:id="rId402" display="開く"/>
    <hyperlink ref="G404" r:id="rId403" display="開く"/>
    <hyperlink ref="G405" r:id="rId404" display="開く"/>
    <hyperlink ref="G406" r:id="rId405" display="開く"/>
    <hyperlink ref="G407" r:id="rId406" display="開く"/>
    <hyperlink ref="G408" r:id="rId407" display="開く"/>
    <hyperlink ref="G409" r:id="rId408" display="開く"/>
    <hyperlink ref="G410" r:id="rId409" display="開く"/>
    <hyperlink ref="G411" r:id="rId410" display="開く"/>
    <hyperlink ref="G412" r:id="rId411" display="開く"/>
    <hyperlink ref="G413" r:id="rId412" display="開く"/>
    <hyperlink ref="G414" r:id="rId413" display="開く"/>
    <hyperlink ref="G415" r:id="rId414" display="開く"/>
    <hyperlink ref="G416" r:id="rId415" display="開く"/>
    <hyperlink ref="G417" r:id="rId416" display="開く"/>
    <hyperlink ref="G418" r:id="rId417" display="開く"/>
    <hyperlink ref="G419" r:id="rId418" display="開く"/>
    <hyperlink ref="G420" r:id="rId419" display="開く"/>
    <hyperlink ref="G421" r:id="rId420" display="開く"/>
    <hyperlink ref="G422" r:id="rId421" display="開く"/>
    <hyperlink ref="G423" r:id="rId422" display="開く"/>
    <hyperlink ref="G424" r:id="rId423" display="開く"/>
    <hyperlink ref="G425" r:id="rId424" display="開く"/>
    <hyperlink ref="G426" r:id="rId425" display="開く"/>
    <hyperlink ref="G427" r:id="rId426" display="開く"/>
    <hyperlink ref="G428" r:id="rId427" display="開く"/>
    <hyperlink ref="G429" r:id="rId428" display="開く"/>
    <hyperlink ref="G430" r:id="rId429" display="開く"/>
    <hyperlink ref="G431" r:id="rId430" display="開く"/>
    <hyperlink ref="G432" r:id="rId431" display="開く"/>
    <hyperlink ref="G433" r:id="rId432" display="開く"/>
    <hyperlink ref="G434" r:id="rId433" display="開く"/>
    <hyperlink ref="G435" r:id="rId434" display="開く"/>
    <hyperlink ref="G436" r:id="rId435" display="開く"/>
    <hyperlink ref="G437" r:id="rId436" display="開く"/>
    <hyperlink ref="G438" r:id="rId437" display="開く"/>
    <hyperlink ref="G439" r:id="rId438" display="開く"/>
    <hyperlink ref="G440" r:id="rId439" display="開く"/>
    <hyperlink ref="G441" r:id="rId440" display="開く"/>
    <hyperlink ref="G442" r:id="rId441" display="開く"/>
    <hyperlink ref="G443" r:id="rId442" display="開く"/>
    <hyperlink ref="G444" r:id="rId443" display="開く"/>
    <hyperlink ref="G445" r:id="rId444" display="開く"/>
    <hyperlink ref="G446" r:id="rId445" display="開く"/>
    <hyperlink ref="G447" r:id="rId446" display="開く"/>
    <hyperlink ref="G448" r:id="rId447" display="開く"/>
    <hyperlink ref="G449" r:id="rId448" display="開く"/>
    <hyperlink ref="G450" r:id="rId449" display="開く"/>
    <hyperlink ref="G451" r:id="rId450" display="開く"/>
    <hyperlink ref="G452" r:id="rId451" display="開く"/>
    <hyperlink ref="G453" r:id="rId452" display="開く"/>
    <hyperlink ref="G454" r:id="rId453" display="開く"/>
    <hyperlink ref="G455" r:id="rId454" display="開く"/>
    <hyperlink ref="G456" r:id="rId455" display="開く"/>
    <hyperlink ref="G457" r:id="rId456" display="開く"/>
    <hyperlink ref="G458" r:id="rId457" display="開く"/>
    <hyperlink ref="G459" r:id="rId458" display="開く"/>
    <hyperlink ref="G460" r:id="rId459" display="開く"/>
    <hyperlink ref="G461" r:id="rId460" display="開く"/>
    <hyperlink ref="G462" r:id="rId461" display="開く"/>
    <hyperlink ref="G463" r:id="rId462" display="開く"/>
    <hyperlink ref="G464" r:id="rId463" display="開く"/>
    <hyperlink ref="G465" r:id="rId464" display="開く"/>
    <hyperlink ref="G466" r:id="rId465" display="開く"/>
    <hyperlink ref="G467" r:id="rId466" display="開く"/>
    <hyperlink ref="G468" r:id="rId467" display="開く"/>
    <hyperlink ref="G469" r:id="rId468" display="開く"/>
    <hyperlink ref="G470" r:id="rId469" display="開く"/>
    <hyperlink ref="G471" r:id="rId470" display="開く"/>
    <hyperlink ref="G472" r:id="rId471" display="開く"/>
    <hyperlink ref="G473" r:id="rId472" display="開く"/>
    <hyperlink ref="G474" r:id="rId473" display="開く"/>
    <hyperlink ref="G475" r:id="rId474" display="開く"/>
    <hyperlink ref="G476" r:id="rId475" display="開く"/>
    <hyperlink ref="G477" r:id="rId476" display="開く"/>
    <hyperlink ref="G478" r:id="rId477" display="開く"/>
    <hyperlink ref="G479" r:id="rId478" display="開く"/>
    <hyperlink ref="G480" r:id="rId479" display="開く"/>
    <hyperlink ref="G481" r:id="rId480" display="開く"/>
    <hyperlink ref="G482" r:id="rId481" display="開く"/>
    <hyperlink ref="G483" r:id="rId482" display="開く"/>
    <hyperlink ref="G484" r:id="rId483" display="開く"/>
    <hyperlink ref="G485" r:id="rId484" display="開く"/>
    <hyperlink ref="G486" r:id="rId485" display="開く"/>
    <hyperlink ref="G487" r:id="rId486" display="開く"/>
    <hyperlink ref="G488" r:id="rId487" display="開く"/>
    <hyperlink ref="G489" r:id="rId488" display="開く"/>
    <hyperlink ref="G490" r:id="rId489" display="開く"/>
    <hyperlink ref="G491" r:id="rId490" display="開く"/>
    <hyperlink ref="G492" r:id="rId491" display="開く"/>
    <hyperlink ref="G493" r:id="rId492" display="開く"/>
    <hyperlink ref="G494" r:id="rId493" display="開く"/>
    <hyperlink ref="G495" r:id="rId494" display="開く"/>
    <hyperlink ref="G496" r:id="rId495" display="開く"/>
    <hyperlink ref="G497" r:id="rId496" display="開く"/>
    <hyperlink ref="G498" r:id="rId497" display="開く"/>
    <hyperlink ref="G499" r:id="rId498" display="開く"/>
    <hyperlink ref="G500" r:id="rId499" display="開く"/>
    <hyperlink ref="G501" r:id="rId500" display="開く"/>
    <hyperlink ref="G502" r:id="rId501" display="開く"/>
    <hyperlink ref="G503" r:id="rId502" display="開く"/>
    <hyperlink ref="G504" r:id="rId503" display="開く"/>
    <hyperlink ref="G505" r:id="rId504" display="開く"/>
    <hyperlink ref="G506" r:id="rId505" display="開く"/>
    <hyperlink ref="G507" r:id="rId506" display="開く"/>
    <hyperlink ref="G508" r:id="rId507" display="開く"/>
    <hyperlink ref="G509" r:id="rId508" display="開く"/>
    <hyperlink ref="G510" r:id="rId509" display="開く"/>
    <hyperlink ref="G511" r:id="rId510" display="開く"/>
    <hyperlink ref="G512" r:id="rId511" display="開く"/>
    <hyperlink ref="G513" r:id="rId512" display="開く"/>
    <hyperlink ref="G514" r:id="rId513" display="開く"/>
    <hyperlink ref="G515" r:id="rId514" display="開く"/>
    <hyperlink ref="G516" r:id="rId515" display="開く"/>
    <hyperlink ref="G517" r:id="rId516" display="開く"/>
    <hyperlink ref="G518" r:id="rId517" display="開く"/>
    <hyperlink ref="G519" r:id="rId518" display="開く"/>
    <hyperlink ref="G520" r:id="rId519" display="開く"/>
    <hyperlink ref="G521" r:id="rId520" display="開く"/>
    <hyperlink ref="G522" r:id="rId521" display="開く"/>
    <hyperlink ref="G523" r:id="rId522" display="開く"/>
    <hyperlink ref="G524" r:id="rId523" display="開く"/>
    <hyperlink ref="G525" r:id="rId524" display="開く"/>
    <hyperlink ref="G526" r:id="rId525" display="開く"/>
    <hyperlink ref="G527" r:id="rId526" display="開く"/>
    <hyperlink ref="G528" r:id="rId527" display="開く"/>
    <hyperlink ref="G529" r:id="rId528" display="開く"/>
    <hyperlink ref="G530" r:id="rId529" display="開く"/>
    <hyperlink ref="G531" r:id="rId530" display="開く"/>
    <hyperlink ref="G532" r:id="rId531" display="開く"/>
    <hyperlink ref="G533" r:id="rId532" display="開く"/>
    <hyperlink ref="G534" r:id="rId533" display="開く"/>
    <hyperlink ref="G535" r:id="rId534" display="開く"/>
    <hyperlink ref="G536" r:id="rId535" display="開く"/>
    <hyperlink ref="G537" r:id="rId536" display="開く"/>
    <hyperlink ref="G538" r:id="rId537" display="開く"/>
    <hyperlink ref="G539" r:id="rId538" display="開く"/>
    <hyperlink ref="G540" r:id="rId539" display="開く"/>
    <hyperlink ref="G541" r:id="rId540" display="開く"/>
    <hyperlink ref="G542" r:id="rId541" display="開く"/>
    <hyperlink ref="G543" r:id="rId542" display="開く"/>
    <hyperlink ref="G544" r:id="rId543" display="開く"/>
    <hyperlink ref="G545" r:id="rId544" display="開く"/>
    <hyperlink ref="G546" r:id="rId545" display="開く"/>
    <hyperlink ref="G547" r:id="rId546" display="開く"/>
    <hyperlink ref="G548" r:id="rId547" display="開く"/>
    <hyperlink ref="G549" r:id="rId548" display="開く"/>
    <hyperlink ref="G550" r:id="rId549" display="開く"/>
    <hyperlink ref="G551" r:id="rId550" display="開く"/>
    <hyperlink ref="G552" r:id="rId551" display="開く"/>
    <hyperlink ref="G553" r:id="rId552" display="開く"/>
    <hyperlink ref="G554" r:id="rId553" display="開く"/>
    <hyperlink ref="G555" r:id="rId554" display="開く"/>
    <hyperlink ref="G556" r:id="rId555" display="開く"/>
    <hyperlink ref="G557" r:id="rId556" display="開く"/>
    <hyperlink ref="G558" r:id="rId557" display="開く"/>
    <hyperlink ref="G559" r:id="rId558" display="開く"/>
    <hyperlink ref="G560" r:id="rId559" display="開く"/>
    <hyperlink ref="G561" r:id="rId560" display="開く"/>
    <hyperlink ref="G562" r:id="rId561" display="開く"/>
    <hyperlink ref="G563" r:id="rId562" display="開く"/>
    <hyperlink ref="G564" r:id="rId563" display="開く"/>
    <hyperlink ref="G565" r:id="rId564" display="開く"/>
    <hyperlink ref="G566" r:id="rId565" display="開く"/>
    <hyperlink ref="G567" r:id="rId566" display="開く"/>
    <hyperlink ref="G568" r:id="rId567" display="開く"/>
    <hyperlink ref="G569" r:id="rId568" display="開く"/>
    <hyperlink ref="G570" r:id="rId569" display="開く"/>
    <hyperlink ref="G571" r:id="rId570" display="開く"/>
    <hyperlink ref="G572" r:id="rId571" display="開く"/>
    <hyperlink ref="G573" r:id="rId572" display="開く"/>
    <hyperlink ref="G574" r:id="rId573" display="開く"/>
    <hyperlink ref="G575" r:id="rId574" display="開く"/>
    <hyperlink ref="G576" r:id="rId575" display="開く"/>
    <hyperlink ref="G577" r:id="rId576" display="開く"/>
    <hyperlink ref="G578" r:id="rId577" display="開く"/>
    <hyperlink ref="G579" r:id="rId578" display="開く"/>
    <hyperlink ref="G580" r:id="rId579" display="開く"/>
    <hyperlink ref="G581" r:id="rId580" display="開く"/>
    <hyperlink ref="G582" r:id="rId581" display="開く"/>
    <hyperlink ref="G583" r:id="rId582" display="開く"/>
    <hyperlink ref="G584" r:id="rId583" display="開く"/>
    <hyperlink ref="G585" r:id="rId584" display="開く"/>
    <hyperlink ref="G586" r:id="rId585" display="開く"/>
    <hyperlink ref="G587" r:id="rId586" display="開く"/>
    <hyperlink ref="G588" r:id="rId587" display="開く"/>
    <hyperlink ref="G589" r:id="rId588" display="開く"/>
    <hyperlink ref="G590" r:id="rId589" display="開く"/>
    <hyperlink ref="G591" r:id="rId590" display="開く"/>
    <hyperlink ref="G592" r:id="rId591" display="開く"/>
    <hyperlink ref="G593" r:id="rId592" display="開く"/>
    <hyperlink ref="G594" r:id="rId593" display="開く"/>
    <hyperlink ref="G595" r:id="rId594" display="開く"/>
    <hyperlink ref="G596" r:id="rId595" display="開く"/>
    <hyperlink ref="G597" r:id="rId596" display="開く"/>
    <hyperlink ref="G598" r:id="rId597" display="開く"/>
    <hyperlink ref="G599" r:id="rId598" display="開く"/>
    <hyperlink ref="G600" r:id="rId599" display="開く"/>
    <hyperlink ref="G601" r:id="rId600" display="開く"/>
    <hyperlink ref="G602" r:id="rId601" display="開く"/>
    <hyperlink ref="G603" r:id="rId602" display="開く"/>
    <hyperlink ref="G604" r:id="rId603" display="開く"/>
    <hyperlink ref="G605" r:id="rId604" display="開く"/>
    <hyperlink ref="G606" r:id="rId605" display="開く"/>
    <hyperlink ref="G607" r:id="rId606" display="開く"/>
    <hyperlink ref="G608" r:id="rId607" display="開く"/>
    <hyperlink ref="G609" r:id="rId608" display="開く"/>
    <hyperlink ref="G610" r:id="rId609" display="開く"/>
    <hyperlink ref="G611" r:id="rId610" display="開く"/>
    <hyperlink ref="G612" r:id="rId611" display="開く"/>
    <hyperlink ref="G613" r:id="rId612" display="開く"/>
    <hyperlink ref="G614" r:id="rId613" display="開く"/>
    <hyperlink ref="G615" r:id="rId614" display="開く"/>
    <hyperlink ref="G616" r:id="rId615" display="開く"/>
    <hyperlink ref="G617" r:id="rId616" display="開く"/>
    <hyperlink ref="G618" r:id="rId617" display="開く"/>
    <hyperlink ref="G619" r:id="rId618" display="開く"/>
    <hyperlink ref="G620" r:id="rId619" display="開く"/>
    <hyperlink ref="G621" r:id="rId620" display="開く"/>
    <hyperlink ref="G622" r:id="rId621" display="開く"/>
    <hyperlink ref="G623" r:id="rId622" display="開く"/>
    <hyperlink ref="G624" r:id="rId623" display="開く"/>
    <hyperlink ref="G625" r:id="rId624" display="開く"/>
    <hyperlink ref="G626" r:id="rId625" display="開く"/>
    <hyperlink ref="G627" r:id="rId626" display="開く"/>
    <hyperlink ref="G628" r:id="rId627" display="開く"/>
    <hyperlink ref="G629" r:id="rId628" display="開く"/>
    <hyperlink ref="G630" r:id="rId629" display="開く"/>
    <hyperlink ref="G631" r:id="rId630" display="開く"/>
    <hyperlink ref="G632" r:id="rId631" display="開く"/>
    <hyperlink ref="G633" r:id="rId632" display="開く"/>
    <hyperlink ref="G634" r:id="rId633" display="開く"/>
    <hyperlink ref="G635" r:id="rId634" display="開く"/>
    <hyperlink ref="G636" r:id="rId635" display="開く"/>
    <hyperlink ref="G637" r:id="rId636" display="開く"/>
    <hyperlink ref="G638" r:id="rId637" display="開く"/>
    <hyperlink ref="G639" r:id="rId638" display="開く"/>
    <hyperlink ref="G640" r:id="rId639" display="開く"/>
    <hyperlink ref="G641" r:id="rId640" display="開く"/>
    <hyperlink ref="G642" r:id="rId641" display="開く"/>
    <hyperlink ref="G643" r:id="rId642" display="開く"/>
    <hyperlink ref="G644" r:id="rId643" display="開く"/>
    <hyperlink ref="G645" r:id="rId644" display="開く"/>
    <hyperlink ref="G646" r:id="rId645" display="開く"/>
    <hyperlink ref="G647" r:id="rId646" display="開く"/>
    <hyperlink ref="G648" r:id="rId647" display="開く"/>
    <hyperlink ref="G649" r:id="rId648" display="開く"/>
    <hyperlink ref="G650" r:id="rId649" display="開く"/>
    <hyperlink ref="G651" r:id="rId650" display="開く"/>
    <hyperlink ref="G652" r:id="rId651" display="開く"/>
    <hyperlink ref="G653" r:id="rId652" display="開く"/>
    <hyperlink ref="G654" r:id="rId653" display="開く"/>
    <hyperlink ref="G655" r:id="rId654" display="開く"/>
    <hyperlink ref="G656" r:id="rId655" display="開く"/>
    <hyperlink ref="G657" r:id="rId656" display="開く"/>
    <hyperlink ref="G658" r:id="rId657" display="開く"/>
    <hyperlink ref="G659" r:id="rId658" display="開く"/>
    <hyperlink ref="G660" r:id="rId659" display="開く"/>
    <hyperlink ref="G661" r:id="rId660" display="開く"/>
    <hyperlink ref="G662" r:id="rId661" display="開く"/>
    <hyperlink ref="G663" r:id="rId662" display="開く"/>
    <hyperlink ref="G664" r:id="rId663" display="開く"/>
    <hyperlink ref="G665" r:id="rId664" display="開く"/>
    <hyperlink ref="G666" r:id="rId665" display="開く"/>
    <hyperlink ref="G667" r:id="rId666" display="開く"/>
    <hyperlink ref="G668" r:id="rId667" display="開く"/>
    <hyperlink ref="G669" r:id="rId668" display="開く"/>
    <hyperlink ref="G670" r:id="rId669" display="開く"/>
    <hyperlink ref="G671" r:id="rId670" display="開く"/>
    <hyperlink ref="G672" r:id="rId671" display="開く"/>
    <hyperlink ref="G673" r:id="rId672" display="開く"/>
    <hyperlink ref="G674" r:id="rId673" display="開く"/>
    <hyperlink ref="G675" r:id="rId674" display="開く"/>
    <hyperlink ref="G676" r:id="rId675" display="開く"/>
    <hyperlink ref="G677" r:id="rId676" display="開く"/>
    <hyperlink ref="G678" r:id="rId677" display="開く"/>
    <hyperlink ref="G679" r:id="rId678" display="開く"/>
    <hyperlink ref="G680" r:id="rId679" display="開く"/>
    <hyperlink ref="G681" r:id="rId680" display="開く"/>
    <hyperlink ref="G682" r:id="rId681" display="開く"/>
    <hyperlink ref="G683" r:id="rId682" display="開く"/>
    <hyperlink ref="G684" r:id="rId683" display="開く"/>
    <hyperlink ref="G685" r:id="rId684" display="開く"/>
    <hyperlink ref="G686" r:id="rId685" display="開く"/>
    <hyperlink ref="G687" r:id="rId686" display="開く"/>
    <hyperlink ref="G688" r:id="rId687" display="開く"/>
    <hyperlink ref="G689" r:id="rId688" display="開く"/>
    <hyperlink ref="G690" r:id="rId689" display="開く"/>
    <hyperlink ref="G691" r:id="rId690" display="開く"/>
    <hyperlink ref="G692" r:id="rId691" display="開く"/>
    <hyperlink ref="G693" r:id="rId692" display="開く"/>
    <hyperlink ref="G694" r:id="rId693" display="開く"/>
    <hyperlink ref="G695" r:id="rId694" display="開く"/>
    <hyperlink ref="G696" r:id="rId695" display="開く"/>
    <hyperlink ref="G697" r:id="rId696" display="開く"/>
    <hyperlink ref="G698" r:id="rId697" display="開く"/>
    <hyperlink ref="G699" r:id="rId698" display="開く"/>
    <hyperlink ref="G700" r:id="rId699" display="開く"/>
    <hyperlink ref="G701" r:id="rId700" display="開く"/>
    <hyperlink ref="G702" r:id="rId701" display="開く"/>
    <hyperlink ref="G703" r:id="rId702" display="開く"/>
    <hyperlink ref="G704" r:id="rId703" display="開く"/>
    <hyperlink ref="G705" r:id="rId704" display="開く"/>
    <hyperlink ref="G706" r:id="rId705" display="開く"/>
    <hyperlink ref="G707" r:id="rId706" display="開く"/>
    <hyperlink ref="G708" r:id="rId707" display="開く"/>
    <hyperlink ref="G709" r:id="rId708" display="開く"/>
    <hyperlink ref="G710" r:id="rId709" display="開く"/>
    <hyperlink ref="G711" r:id="rId710" display="開く"/>
    <hyperlink ref="G712" r:id="rId711" display="開く"/>
    <hyperlink ref="G713" r:id="rId712" display="開く"/>
    <hyperlink ref="G714" r:id="rId713" display="開く"/>
    <hyperlink ref="G715" r:id="rId714" display="開く"/>
    <hyperlink ref="G716" r:id="rId715" display="開く"/>
    <hyperlink ref="G717" r:id="rId716" display="開く"/>
    <hyperlink ref="G718" r:id="rId717" display="開く"/>
    <hyperlink ref="G719" r:id="rId718" display="開く"/>
    <hyperlink ref="G720" r:id="rId719" display="開く"/>
    <hyperlink ref="G721" r:id="rId720" display="開く"/>
    <hyperlink ref="G722" r:id="rId721" display="開く"/>
    <hyperlink ref="G723" r:id="rId722" display="開く"/>
    <hyperlink ref="G724" r:id="rId723" display="開く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2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2026-10-18T15:55:40Z</dcterms:created>
  <dc:creator>openpyxl</dc:creator>
  <dc:description/>
  <dc:language>en-US</dc:language>
  <cp:lastModifiedBy/>
  <dcterms:modified xsi:type="dcterms:W3CDTF">2026-10-18T15:55:40Z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